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rl\Desktop\"/>
    </mc:Choice>
  </mc:AlternateContent>
  <bookViews>
    <workbookView xWindow="-120" yWindow="-120" windowWidth="20730" windowHeight="11040" tabRatio="0" firstSheet="4" activeTab="4"/>
  </bookViews>
  <sheets>
    <sheet name="A̳ssets" sheetId="1" state="hidden" r:id="rId1"/>
    <sheet name="B̳ases" sheetId="2" state="hidden" r:id="rId2"/>
    <sheet name="TBL-DATA" sheetId="3" state="hidden" r:id="rId3"/>
    <sheet name="Cálculos" sheetId="5" state="hidden" r:id="rId4"/>
    <sheet name="CAPA" sheetId="6" r:id="rId5"/>
    <sheet name="D̳ashboard" sheetId="4" r:id="rId6"/>
  </sheets>
  <definedNames>
    <definedName name="_805d54f9_6d53_4246_bed7_4aa2da615923" localSheetId="2" hidden="1">'TBL-DATA'!$A$1:$M$336</definedName>
    <definedName name="SegmentaçãodeDados_Start_Month">#N/A</definedName>
    <definedName name="SegmentaçãodeDados_Subscription_Type">#N/A</definedName>
  </definedNames>
  <calcPr calcId="162913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2" i="5" l="1"/>
  <c r="O71" i="5"/>
  <c r="O70" i="5"/>
  <c r="F52" i="5"/>
  <c r="F51" i="5"/>
  <c r="F50" i="5"/>
  <c r="D41" i="5"/>
  <c r="M327" i="3"/>
  <c r="M316" i="3"/>
  <c r="M314" i="3"/>
  <c r="M291" i="3"/>
  <c r="M289" i="3"/>
  <c r="M284" i="3"/>
  <c r="M275" i="3"/>
  <c r="M265" i="3"/>
  <c r="M252" i="3"/>
  <c r="M249" i="3"/>
  <c r="M240" i="3"/>
  <c r="M237" i="3"/>
  <c r="M231" i="3"/>
  <c r="M230" i="3"/>
  <c r="M221" i="3"/>
  <c r="M203" i="3"/>
  <c r="M198" i="3"/>
  <c r="M191" i="3"/>
  <c r="M159" i="3"/>
  <c r="M157" i="3"/>
  <c r="M156" i="3"/>
  <c r="M145" i="3"/>
  <c r="M134" i="3"/>
  <c r="M127" i="3"/>
  <c r="M122" i="3"/>
  <c r="M119" i="3"/>
  <c r="M116" i="3"/>
  <c r="M109" i="3"/>
  <c r="M93" i="3"/>
  <c r="M90" i="3"/>
  <c r="M85" i="3"/>
  <c r="M78" i="3"/>
  <c r="M66" i="3"/>
  <c r="M45" i="3"/>
  <c r="M35" i="3"/>
  <c r="M21" i="3"/>
  <c r="M18" i="3"/>
  <c r="M6" i="3"/>
  <c r="M5" i="3"/>
  <c r="M4" i="3"/>
  <c r="E51" i="5"/>
  <c r="E62" i="5"/>
  <c r="E50" i="5"/>
  <c r="E52" i="5"/>
  <c r="E63" i="5"/>
  <c r="E61" i="5"/>
  <c r="N71" i="5"/>
  <c r="E24" i="5"/>
  <c r="N49" i="5"/>
  <c r="N72" i="5"/>
  <c r="N24" i="5"/>
  <c r="J25" i="5"/>
  <c r="N31" i="5"/>
  <c r="J24" i="5"/>
  <c r="N41" i="5"/>
  <c r="N62" i="5"/>
  <c r="N70" i="5"/>
  <c r="E23" i="5"/>
  <c r="D36" i="5"/>
  <c r="F53" i="5" l="1"/>
  <c r="R22" i="5"/>
  <c r="D43" i="5"/>
  <c r="D44" i="5" s="1"/>
  <c r="R21" i="5"/>
  <c r="O73" i="5"/>
</calcChain>
</file>

<file path=xl/connections.xml><?xml version="1.0" encoding="utf-8"?>
<connections xmlns="http://schemas.openxmlformats.org/spreadsheetml/2006/main">
  <connection id="1" sourceFile="C:\Users\sharl\Downloads\805d54f9-6d53-4246-bed7-4aa2da615923.xlsx" keepAlive="1" name="805d54f9-6d53-4246-bed7-4aa2da615923" type="5" refreshedVersion="6" background="1" saveData="1">
    <dbPr connection="Provider=Microsoft.ACE.OLEDB.12.0;User ID=Admin;Data Source=C:\Users\sharl\Downloads\805d54f9-6d53-4246-bed7-4aa2da615923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B̳ases$" commandType="3"/>
  </connection>
</connections>
</file>

<file path=xl/sharedStrings.xml><?xml version="1.0" encoding="utf-8"?>
<sst xmlns="http://schemas.openxmlformats.org/spreadsheetml/2006/main" count="4725" uniqueCount="374">
  <si>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</si>
  <si>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</si>
  <si>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</si>
  <si>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</si>
  <si>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</si>
  <si>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</si>
  <si>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</si>
  <si>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</si>
  <si>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</si>
  <si>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</si>
  <si>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</si>
  <si>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</si>
  <si>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</si>
  <si>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</si>
  <si>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</si>
  <si>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</si>
  <si>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</si>
  <si>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</si>
  <si>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</si>
  <si>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</si>
  <si>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</si>
  <si>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</si>
  <si>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</si>
  <si>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</si>
  <si>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</si>
  <si>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</si>
  <si>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</si>
  <si>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</si>
  <si>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</si>
  <si>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</si>
  <si>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</si>
  <si>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</si>
  <si>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</si>
  <si>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</si>
  <si>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</si>
  <si>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</si>
  <si>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</si>
  <si>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</si>
  <si>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</si>
  <si>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</si>
  <si>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</si>
  <si>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</si>
  <si>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</si>
  <si>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</si>
  <si>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</si>
  <si>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</si>
  <si>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</si>
  <si>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</si>
  <si>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</si>
  <si>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</si>
  <si>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</si>
  <si>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</si>
  <si>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</si>
  <si>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</si>
  <si>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</si>
  <si>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</si>
  <si>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</si>
  <si>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</si>
  <si>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</si>
  <si>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</si>
  <si>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</si>
  <si>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</si>
  <si>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</si>
  <si>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</si>
  <si>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</si>
  <si>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</si>
  <si>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</si>
  <si>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</si>
  <si>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</si>
  <si>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</si>
  <si>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</si>
  <si>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</si>
  <si>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</si>
  <si>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</si>
  <si>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</si>
  <si>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</si>
  <si>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</si>
  <si>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</si>
  <si>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</si>
  <si>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</si>
  <si>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</si>
  <si>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</si>
  <si>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</si>
  <si>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</si>
  <si>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</si>
  <si>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</si>
  <si>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</si>
  <si>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</si>
  <si>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</si>
  <si>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</si>
  <si>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</si>
  <si>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</si>
  <si>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</si>
  <si>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</si>
  <si>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</si>
  <si>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</si>
  <si>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</si>
  <si>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</si>
  <si>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</si>
  <si>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</si>
  <si>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</si>
  <si>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</si>
  <si>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</si>
  <si>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</si>
  <si>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</si>
  <si>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</si>
  <si>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</si>
  <si>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</si>
  <si>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</si>
  <si>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</si>
  <si>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</si>
  <si>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</si>
  <si>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</si>
  <si>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</si>
  <si>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</si>
  <si>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</si>
  <si>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</si>
  <si>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</si>
  <si>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</si>
  <si>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</si>
  <si>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</si>
  <si>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</si>
  <si>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</si>
  <si>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</si>
  <si>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</si>
  <si>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</si>
  <si>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</si>
  <si>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</si>
  <si>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</si>
  <si>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</si>
  <si>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</si>
  <si>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</si>
  <si>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</si>
  <si>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</si>
  <si>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</si>
  <si>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</si>
  <si>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</si>
  <si>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</si>
  <si>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</si>
  <si>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</si>
  <si>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</si>
  <si>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</si>
  <si>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</si>
  <si>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</si>
  <si>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</si>
  <si>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</si>
  <si>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</si>
  <si>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</si>
  <si>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</si>
  <si>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</si>
  <si>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</si>
  <si>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</si>
  <si>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</si>
  <si>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</si>
  <si>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</si>
  <si>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</si>
  <si>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</si>
  <si>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</si>
  <si>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</si>
  <si>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</si>
  <si>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</si>
  <si>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</si>
  <si>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</si>
  <si>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</si>
  <si>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</si>
  <si>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</si>
  <si>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</si>
  <si>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</si>
  <si>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</si>
  <si>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</si>
  <si>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</si>
  <si>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</si>
  <si>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</si>
  <si>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</si>
  <si>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</si>
  <si>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</si>
  <si>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</si>
  <si>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</si>
  <si>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</si>
  <si>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</si>
  <si>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</si>
  <si>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</si>
  <si>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</si>
  <si>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</si>
  <si>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</si>
  <si>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</si>
  <si>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</si>
  <si>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</si>
  <si>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</si>
  <si>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</si>
  <si>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</si>
  <si>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</si>
  <si>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</si>
  <si>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</si>
  <si>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</si>
  <si>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</si>
  <si>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</si>
  <si>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</si>
  <si>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</si>
  <si>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</si>
  <si>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</si>
  <si>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</si>
  <si>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</si>
  <si>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</si>
  <si>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</si>
  <si>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</si>
  <si>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</si>
  <si>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</si>
  <si>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</si>
  <si>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</si>
  <si>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</si>
  <si>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</si>
  <si>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</si>
  <si>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</si>
  <si>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</si>
  <si>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</si>
  <si>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</si>
  <si>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</si>
  <si>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</si>
  <si>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</si>
  <si>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</si>
  <si>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</si>
  <si>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</si>
  <si>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</si>
  <si>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</si>
  <si>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</si>
  <si>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</si>
  <si>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</si>
  <si>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</si>
  <si>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</si>
  <si>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</si>
  <si>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</si>
  <si>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</si>
  <si>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</si>
  <si>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</si>
  <si>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</si>
  <si>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</si>
  <si>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</si>
  <si>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</si>
  <si>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</si>
  <si>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</si>
  <si>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</si>
  <si>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</si>
  <si>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</si>
  <si>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</si>
  <si>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</si>
  <si>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</si>
  <si>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</si>
  <si>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</si>
  <si>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</si>
  <si>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</si>
  <si>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</si>
  <si>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</si>
  <si>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</si>
  <si>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</si>
  <si>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</si>
  <si>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</si>
  <si>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</si>
  <si>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</si>
  <si>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</si>
  <si>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</si>
  <si>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</si>
  <si>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</si>
  <si>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</si>
  <si>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</si>
  <si>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</si>
  <si>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</si>
  <si>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</si>
  <si>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</si>
  <si>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</si>
  <si>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</si>
  <si>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</si>
  <si>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</si>
  <si>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</si>
  <si>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</si>
  <si>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</si>
  <si>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</si>
  <si>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</si>
  <si>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</si>
  <si>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</si>
  <si>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</si>
  <si>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</si>
  <si>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</si>
  <si>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</si>
  <si>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</si>
  <si>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</si>
  <si>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</si>
  <si>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</si>
  <si>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</si>
  <si>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</si>
  <si>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</si>
  <si>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</si>
  <si>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</si>
  <si>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</si>
  <si>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</si>
  <si>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</si>
  <si>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</si>
  <si>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</si>
  <si>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</si>
  <si>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</si>
  <si>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</si>
  <si>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</si>
  <si>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</si>
  <si>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</si>
  <si>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</si>
  <si>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</si>
  <si>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</si>
  <si>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</si>
  <si>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</si>
  <si>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</si>
  <si>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</si>
  <si>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</si>
  <si>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</si>
  <si>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EA Play Season Pass_Price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</si>
  <si>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</si>
  <si>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</si>
  <si>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</si>
  <si>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</si>
  <si>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</si>
  <si>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</si>
  <si>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</si>
  <si>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</si>
  <si>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</si>
  <si>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</si>
  <si>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</si>
  <si>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</si>
  <si>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Start Month</t>
  </si>
  <si>
    <t>FATURAMENTO TOTAL</t>
  </si>
  <si>
    <t>FATURAMENTO MENSAL</t>
  </si>
  <si>
    <t>FATURAMENTO POR PASSE (EA E MINECRAFT)</t>
  </si>
  <si>
    <t>QUANTIDADE DE PASSES VENDIDOS</t>
  </si>
  <si>
    <t>FATURAMENTO POR TIPO DE PLANO (MENSAL, QUARTENARIO, ANUAL)</t>
  </si>
  <si>
    <t>QUANTIDADE DE PLANOS VENDIDOS</t>
  </si>
  <si>
    <t>Soma de Total Value</t>
  </si>
  <si>
    <t>Rótulos de Linha</t>
  </si>
  <si>
    <t>Total Geral</t>
  </si>
  <si>
    <t>Minecraft Pass</t>
  </si>
  <si>
    <t>Both</t>
  </si>
  <si>
    <t>EA Pass</t>
  </si>
  <si>
    <t>Valores</t>
  </si>
  <si>
    <t>(Tudo)</t>
  </si>
  <si>
    <t>Quantidade de planos vendidos</t>
  </si>
  <si>
    <t>Ticket Médio</t>
  </si>
  <si>
    <t>Valor Total</t>
  </si>
  <si>
    <t>Pass Chosed</t>
  </si>
  <si>
    <t>Contagem de Pass Chosed</t>
  </si>
  <si>
    <t>Neither</t>
  </si>
  <si>
    <t>Média de Total Value</t>
  </si>
  <si>
    <t>VISAO GERAL QTD PLANOS VENDIDOS</t>
  </si>
  <si>
    <t>Contagem de Total Value</t>
  </si>
  <si>
    <t>Contagem de EA Play Season Pass</t>
  </si>
  <si>
    <t>Contagem de Minecraft Season Pass</t>
  </si>
  <si>
    <t>VALOR TOTAL POR PASSE</t>
  </si>
  <si>
    <t>QUANTIDADE TOTAL POR PASSE</t>
  </si>
  <si>
    <t>Soma de EA Play Season Pass_Price</t>
  </si>
  <si>
    <t>Soma de Minecraft Season Pass Price</t>
  </si>
  <si>
    <t>Contagem de Subscription Type</t>
  </si>
  <si>
    <t>Soma de Subscription Price</t>
  </si>
  <si>
    <t>VALOR TOTAL POR TIPO DE ASSINATURA</t>
  </si>
  <si>
    <t>VALOR TOTAL DE VENDAS MENSAIS</t>
  </si>
  <si>
    <t>Soma de Coupon Value</t>
  </si>
  <si>
    <t>VALOR TOTAL DE CUPONS DE DESCONTO</t>
  </si>
  <si>
    <t>Soma de Subscription Price2</t>
  </si>
  <si>
    <t>QUANTIDADE E VALOR VENDIDO POR TIPO DE PLANO</t>
  </si>
  <si>
    <t>ARRECADAÇÃO BRUTA</t>
  </si>
  <si>
    <t>Bruto</t>
  </si>
  <si>
    <t>Liquido</t>
  </si>
  <si>
    <t>QUANTIDADE TIPO DE ASSINATURA POR TIPO DE PLANO</t>
  </si>
  <si>
    <t>MAIOR</t>
  </si>
  <si>
    <t>QUANTIDADE POR TIPO DE PLANO</t>
  </si>
  <si>
    <t>DASHBOARD: ARRECADAÇÃO FINANCEIRA POR PERFIL DE CONTRATAÇÃO</t>
  </si>
  <si>
    <t>EA Play</t>
  </si>
  <si>
    <t>Minecraft</t>
  </si>
  <si>
    <t>GRÁFICO VENDAS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</si>
</sst>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2"/>
      <color theme="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2" fillId="13" borderId="2" applyNumberFormat="0" applyFont="0" applyAlignment="0" applyProtection="0"/>
    <xf numFmtId="0" fontId="5" fillId="14" borderId="0" applyNumberFormat="0" applyBorder="0" applyAlignment="0" applyProtection="0"/>
  </cellStyleXfs>
  <cellXfs count="6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4" fontId="0" fillId="0" borderId="0" xfId="0" applyNumberFormat="1"/>
    <xf numFmtId="0" fontId="4" fillId="8" borderId="0" xfId="0" applyFont="1" applyFill="1"/>
    <xf numFmtId="0" fontId="0" fillId="9" borderId="0" xfId="0" applyFill="1"/>
    <xf numFmtId="0" fontId="0" fillId="10" borderId="0" xfId="0" applyFill="1"/>
    <xf numFmtId="44" fontId="0" fillId="0" borderId="0" xfId="2" applyFont="1"/>
    <xf numFmtId="0" fontId="0" fillId="0" borderId="0" xfId="2" applyNumberFormat="1" applyFont="1"/>
    <xf numFmtId="0" fontId="0" fillId="11" borderId="0" xfId="0" applyFill="1"/>
    <xf numFmtId="0" fontId="0" fillId="1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2" applyNumberFormat="1" applyFont="1" applyAlignment="1">
      <alignment horizontal="center"/>
    </xf>
    <xf numFmtId="0" fontId="0" fillId="13" borderId="2" xfId="3" applyFont="1"/>
    <xf numFmtId="0" fontId="0" fillId="8" borderId="0" xfId="0" applyFill="1"/>
    <xf numFmtId="0" fontId="0" fillId="11" borderId="0" xfId="0" applyFill="1" applyBorder="1"/>
    <xf numFmtId="0" fontId="0" fillId="0" borderId="0" xfId="0" applyBorder="1"/>
    <xf numFmtId="0" fontId="0" fillId="13" borderId="2" xfId="3" applyFont="1" applyAlignment="1">
      <alignment horizontal="left"/>
    </xf>
    <xf numFmtId="44" fontId="0" fillId="13" borderId="2" xfId="3" applyNumberFormat="1" applyFont="1"/>
    <xf numFmtId="44" fontId="5" fillId="14" borderId="0" xfId="4" applyNumberFormat="1"/>
    <xf numFmtId="0" fontId="5" fillId="14" borderId="0" xfId="4"/>
    <xf numFmtId="0" fontId="0" fillId="11" borderId="4" xfId="0" applyFill="1" applyBorder="1"/>
    <xf numFmtId="0" fontId="0" fillId="11" borderId="5" xfId="0" applyFill="1" applyBorder="1"/>
    <xf numFmtId="0" fontId="0" fillId="0" borderId="6" xfId="0" applyBorder="1"/>
    <xf numFmtId="0" fontId="0" fillId="11" borderId="7" xfId="0" applyFill="1" applyBorder="1"/>
    <xf numFmtId="0" fontId="0" fillId="11" borderId="6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0" fillId="0" borderId="11" xfId="0" pivotButton="1" applyBorder="1"/>
    <xf numFmtId="0" fontId="0" fillId="0" borderId="12" xfId="0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0" fontId="0" fillId="0" borderId="3" xfId="0" pivotButton="1" applyBorder="1"/>
    <xf numFmtId="0" fontId="0" fillId="0" borderId="3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44" fontId="0" fillId="11" borderId="0" xfId="0" applyNumberFormat="1" applyFill="1"/>
    <xf numFmtId="0" fontId="0" fillId="15" borderId="0" xfId="0" applyFill="1"/>
    <xf numFmtId="0" fontId="7" fillId="11" borderId="0" xfId="0" applyFont="1" applyFill="1"/>
    <xf numFmtId="0" fontId="6" fillId="11" borderId="0" xfId="0" applyFont="1" applyFill="1"/>
    <xf numFmtId="0" fontId="6" fillId="11" borderId="0" xfId="4" applyFont="1" applyFill="1"/>
    <xf numFmtId="0" fontId="0" fillId="11" borderId="0" xfId="0" applyFill="1" applyAlignment="1">
      <alignment horizontal="left"/>
    </xf>
    <xf numFmtId="44" fontId="5" fillId="11" borderId="0" xfId="4" applyNumberFormat="1" applyFill="1"/>
    <xf numFmtId="44" fontId="5" fillId="14" borderId="0" xfId="2" applyFont="1" applyFill="1"/>
    <xf numFmtId="0" fontId="0" fillId="12" borderId="0" xfId="0" applyFill="1" applyAlignment="1"/>
    <xf numFmtId="0" fontId="8" fillId="11" borderId="0" xfId="1" applyFont="1" applyFill="1" applyBorder="1" applyAlignment="1">
      <alignment vertical="center"/>
    </xf>
    <xf numFmtId="0" fontId="6" fillId="12" borderId="0" xfId="0" applyFont="1" applyFill="1"/>
    <xf numFmtId="0" fontId="0" fillId="0" borderId="16" xfId="0" applyBorder="1"/>
    <xf numFmtId="0" fontId="0" fillId="12" borderId="0" xfId="0" applyFill="1" applyAlignment="1">
      <alignment horizontal="center"/>
    </xf>
  </cellXfs>
  <cellStyles count="5">
    <cellStyle name="Ênfase6" xfId="4" builtinId="49"/>
    <cellStyle name="Moeda" xfId="2" builtinId="4"/>
    <cellStyle name="Normal" xfId="0" builtinId="0"/>
    <cellStyle name="Nota" xfId="3" builtinId="10"/>
    <cellStyle name="Título 1" xfId="1" builtinId="16"/>
  </cellStyles>
  <dxfs count="127"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sz val="10"/>
        <color theme="1"/>
      </font>
      <fill>
        <patternFill patternType="solid"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Dark6 2" pivot="0" table="0" count="10">
      <tableStyleElement type="wholeTable" dxfId="1"/>
      <tableStyleElement type="headerRow" dxfId="0"/>
    </tableStyle>
  </tableStyles>
  <colors>
    <mruColors>
      <color rgb="FF000000"/>
      <color rgb="FF22C55E"/>
      <color rgb="FFE8E6E9"/>
      <color rgb="FF5BF6A8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[SATNADER MICROSOFT XBOX.xlsx]Cálculos!Tabela dinâmica1</c:name>
    <c:fmtId val="2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3"/>
            </a:outerShdw>
          </a:effectLst>
        </c:spPr>
        <c:marker>
          <c:symbol val="circle"/>
          <c:size val="5"/>
          <c:spPr>
            <a:solidFill>
              <a:schemeClr val="accent3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"/>
          <c:y val="7.1330952094127584E-2"/>
          <c:w val="0.99024391226625808"/>
          <c:h val="0.82858000364366391"/>
        </c:manualLayout>
      </c:layout>
      <c:lineChart>
        <c:grouping val="stacked"/>
        <c:varyColors val="0"/>
        <c:ser>
          <c:idx val="0"/>
          <c:order val="0"/>
          <c:tx>
            <c:strRef>
              <c:f>Cálculos!$I$35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Cálculos!$H$36:$H$48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Cálculos!$I$36:$I$48</c:f>
              <c:numCache>
                <c:formatCode>_("R$"* #,##0.00_);_("R$"* \(#,##0.00\);_("R$"* "-"??_);_(@_)</c:formatCode>
                <c:ptCount val="12"/>
                <c:pt idx="0">
                  <c:v>124</c:v>
                </c:pt>
                <c:pt idx="1">
                  <c:v>107</c:v>
                </c:pt>
                <c:pt idx="2">
                  <c:v>914</c:v>
                </c:pt>
                <c:pt idx="3">
                  <c:v>859</c:v>
                </c:pt>
                <c:pt idx="4">
                  <c:v>932</c:v>
                </c:pt>
                <c:pt idx="5">
                  <c:v>972</c:v>
                </c:pt>
                <c:pt idx="6">
                  <c:v>891</c:v>
                </c:pt>
                <c:pt idx="7">
                  <c:v>878</c:v>
                </c:pt>
                <c:pt idx="8">
                  <c:v>977</c:v>
                </c:pt>
                <c:pt idx="9">
                  <c:v>965</c:v>
                </c:pt>
                <c:pt idx="10">
                  <c:v>907</c:v>
                </c:pt>
                <c:pt idx="11">
                  <c:v>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8-4060-9043-79035C394C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29271855"/>
        <c:axId val="1229272271"/>
      </c:lineChart>
      <c:catAx>
        <c:axId val="122927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9272271"/>
        <c:crosses val="autoZero"/>
        <c:auto val="1"/>
        <c:lblAlgn val="ctr"/>
        <c:lblOffset val="100"/>
        <c:noMultiLvlLbl val="0"/>
      </c:catAx>
      <c:valAx>
        <c:axId val="1229272271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2927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[SATNADER MICROSOFT XBOX.xlsx]Cálculos!Tabela dinâmica10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950123249069661E-2"/>
              <c:y val="0.166631364061948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39606513055745"/>
              <c:y val="-0.1342151821665566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312377846909229"/>
              <c:y val="-4.05990186899152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3502755667039722E-2"/>
              <c:y val="-3.57893656275241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9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5091379194901567E-2"/>
              <c:y val="6.75106046346686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231453328365919E-3"/>
              <c:y val="-9.84142146255409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Cálculos!$M$58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7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2A-4093-AA91-A2DB789451D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2A-4093-AA91-A2DB789451DB}"/>
              </c:ext>
            </c:extLst>
          </c:dPt>
          <c:dPt>
            <c:idx val="2"/>
            <c:bubble3D val="0"/>
            <c:explosion val="5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2A-4093-AA91-A2DB789451DB}"/>
              </c:ext>
            </c:extLst>
          </c:dPt>
          <c:dLbls>
            <c:dLbl>
              <c:idx val="0"/>
              <c:layout>
                <c:manualLayout>
                  <c:x val="7.5091379194901567E-2"/>
                  <c:y val="6.751060463466862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12A-4093-AA91-A2DB789451DB}"/>
                </c:ext>
              </c:extLst>
            </c:dLbl>
            <c:dLbl>
              <c:idx val="1"/>
              <c:layout>
                <c:manualLayout>
                  <c:x val="1.3502755667039722E-2"/>
                  <c:y val="-3.57893656275241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12A-4093-AA91-A2DB789451DB}"/>
                </c:ext>
              </c:extLst>
            </c:dLbl>
            <c:dLbl>
              <c:idx val="2"/>
              <c:layout>
                <c:manualLayout>
                  <c:x val="4.9231453328365919E-3"/>
                  <c:y val="-9.841421462554091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12A-4093-AA91-A2DB789451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Cálculos!$L$59:$L$62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Cálculos!$M$59:$M$62</c:f>
              <c:numCache>
                <c:formatCode>_("R$"* #,##0.00_);_("R$"* \(#,##0.00\);_("R$"* "-"??_);_(@_)</c:formatCode>
                <c:ptCount val="3"/>
                <c:pt idx="0">
                  <c:v>575</c:v>
                </c:pt>
                <c:pt idx="1">
                  <c:v>1090</c:v>
                </c:pt>
                <c:pt idx="2">
                  <c:v>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2A-4093-AA91-A2DB78945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4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[SATNADER MICROSOFT XBOX.xlsx]Cálculos!Tabela dinâmica14</c:name>
    <c:fmtId val="9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none"/>
        </c:marke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7953626702029882"/>
          <c:y val="5.4200447015298178E-2"/>
          <c:w val="0.53991293987267441"/>
          <c:h val="0.89159910596940362"/>
        </c:manualLayout>
      </c:layout>
      <c:radarChart>
        <c:radarStyle val="filled"/>
        <c:varyColors val="0"/>
        <c:ser>
          <c:idx val="0"/>
          <c:order val="0"/>
          <c:tx>
            <c:strRef>
              <c:f>Cálculos!$M$69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Cálculos!$L$70:$L$73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Cálculos!$M$70:$M$73</c:f>
              <c:numCache>
                <c:formatCode>General</c:formatCode>
                <c:ptCount val="3"/>
                <c:pt idx="0">
                  <c:v>111</c:v>
                </c:pt>
                <c:pt idx="1">
                  <c:v>109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1E7-859B-4D734A4C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599232"/>
        <c:axId val="1582590912"/>
      </c:radarChart>
      <c:catAx>
        <c:axId val="158259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2590912"/>
        <c:crosses val="autoZero"/>
        <c:auto val="1"/>
        <c:lblAlgn val="ctr"/>
        <c:lblOffset val="100"/>
        <c:noMultiLvlLbl val="0"/>
      </c:catAx>
      <c:valAx>
        <c:axId val="15825909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8259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[SATNADER MICROSOFT XBOX.xlsx]Cálculos!Tabela dinâmica14</c:name>
    <c:fmtId val="12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3762407492714504"/>
              <c:y val="2.195158138977821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5737352264831142"/>
              <c:y val="-8.324105576876820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3055996465473296"/>
              <c:y val="-4.54033749554868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</c:pivotFmt>
      <c:pivotFmt>
        <c:idx val="7"/>
        <c:spPr>
          <a:solidFill>
            <a:schemeClr val="accent6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</c:pivotFmt>
      <c:pivotFmt>
        <c:idx val="8"/>
        <c:spPr>
          <a:solidFill>
            <a:schemeClr val="accent6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  <c:dLbl>
          <c:idx val="0"/>
          <c:layout>
            <c:manualLayout>
              <c:x val="-0.36077079852229216"/>
              <c:y val="-4.26935348076806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25400" cap="flat" cmpd="sng" algn="ctr">
            <a:solidFill>
              <a:schemeClr val="lt1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746401426518582"/>
              <c:y val="-9.29425802437863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7523746142298269"/>
              <c:y val="3.947492435286430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8871569924157424E-2"/>
                  <c:h val="8.4615545390839222E-2"/>
                </c:manualLayout>
              </c15:layout>
            </c:ext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0.1386498565057018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Cálculos!$M$69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1-4035-97F4-C7DA9CFAC5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E1-4035-97F4-C7DA9CFAC5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1-4035-97F4-C7DA9CFAC589}"/>
              </c:ext>
            </c:extLst>
          </c:dPt>
          <c:dLbls>
            <c:dLbl>
              <c:idx val="0"/>
              <c:layout>
                <c:manualLayout>
                  <c:x val="-0.1746401426518582"/>
                  <c:y val="-9.294258024378633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2E1-4035-97F4-C7DA9CFAC589}"/>
                </c:ext>
              </c:extLst>
            </c:dLbl>
            <c:dLbl>
              <c:idx val="1"/>
              <c:layout>
                <c:manualLayout>
                  <c:x val="-0.17523746142298269"/>
                  <c:y val="3.947492435286430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8871569924157424E-2"/>
                      <c:h val="8.461554539083922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2E1-4035-97F4-C7DA9CFAC589}"/>
                </c:ext>
              </c:extLst>
            </c:dLbl>
            <c:dLbl>
              <c:idx val="2"/>
              <c:layout>
                <c:manualLayout>
                  <c:x val="-0.1386498565057018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2E1-4035-97F4-C7DA9CFAC5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Cálculos!$L$70:$L$73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Cálculos!$M$70:$M$73</c:f>
              <c:numCache>
                <c:formatCode>General</c:formatCode>
                <c:ptCount val="3"/>
                <c:pt idx="0">
                  <c:v>111</c:v>
                </c:pt>
                <c:pt idx="1">
                  <c:v>109</c:v>
                </c:pt>
                <c:pt idx="2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1-4035-97F4-C7DA9CFAC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49824"/>
        <c:axId val="9048992"/>
      </c:barChart>
      <c:catAx>
        <c:axId val="9049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48992"/>
        <c:crosses val="autoZero"/>
        <c:auto val="1"/>
        <c:lblAlgn val="ctr"/>
        <c:lblOffset val="100"/>
        <c:noMultiLvlLbl val="0"/>
      </c:catAx>
      <c:valAx>
        <c:axId val="9048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4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Cálculos!$Q$21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Cálculos!$R$21</c:f>
              <c:numCache>
                <c:formatCode>General</c:formatCode>
                <c:ptCount val="1"/>
                <c:pt idx="0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8-4174-857A-DAA4EEBEB0BC}"/>
            </c:ext>
          </c:extLst>
        </c:ser>
        <c:ser>
          <c:idx val="1"/>
          <c:order val="1"/>
          <c:tx>
            <c:strRef>
              <c:f>Cálculos!$Q$22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Cálculos!$R$22</c:f>
              <c:numCache>
                <c:formatCode>General</c:formatCode>
                <c:ptCount val="1"/>
                <c:pt idx="0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8-4174-857A-DAA4EEBEB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78703"/>
        <c:axId val="102979535"/>
      </c:barChart>
      <c:catAx>
        <c:axId val="102978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979535"/>
        <c:crosses val="autoZero"/>
        <c:auto val="1"/>
        <c:lblAlgn val="ctr"/>
        <c:lblOffset val="100"/>
        <c:noMultiLvlLbl val="0"/>
      </c:catAx>
      <c:valAx>
        <c:axId val="102979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97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[SATNADER MICROSOFT XBOX.xlsx]Cálculos!Tabela dinâmica3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571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1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57150">
            <a:solidFill>
              <a:srgbClr val="FFFF00"/>
            </a:solidFill>
          </a:ln>
          <a:effectLst/>
        </c:spPr>
        <c:dLbl>
          <c:idx val="0"/>
          <c:layout>
            <c:manualLayout>
              <c:x val="1.484488902744118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1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57150">
            <a:solidFill>
              <a:schemeClr val="tx1"/>
            </a:solidFill>
          </a:ln>
          <a:effectLst/>
        </c:spPr>
        <c:dLbl>
          <c:idx val="0"/>
          <c:layout>
            <c:manualLayout>
              <c:x val="5.9379556109763658E-3"/>
              <c:y val="-6.227346425814988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1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 w="57150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38100">
            <a:solidFill>
              <a:schemeClr val="tx2">
                <a:lumMod val="75000"/>
                <a:lumOff val="25000"/>
              </a:schemeClr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1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 w="38100" cap="flat" cmpd="sng" algn="ctr">
            <a:solidFill>
              <a:srgbClr val="FFFF00"/>
            </a:solidFill>
            <a:prstDash val="solid"/>
            <a:miter lim="800000"/>
          </a:ln>
          <a:effectLst/>
        </c:spPr>
      </c:pivotFmt>
      <c:pivotFmt>
        <c:idx val="8"/>
        <c:spPr>
          <a:solidFill>
            <a:srgbClr val="FFC000"/>
          </a:solidFill>
          <a:ln w="38100" cap="flat" cmpd="sng" algn="ctr">
            <a:solidFill>
              <a:schemeClr val="tx2">
                <a:lumMod val="75000"/>
                <a:lumOff val="25000"/>
              </a:schemeClr>
            </a:solidFill>
            <a:prstDash val="solid"/>
            <a:miter lim="800000"/>
          </a:ln>
          <a:effectLst/>
        </c:spPr>
      </c:pivotFmt>
      <c:pivotFmt>
        <c:idx val="9"/>
        <c:spPr>
          <a:solidFill>
            <a:schemeClr val="accent5"/>
          </a:solidFill>
          <a:ln w="38100">
            <a:solidFill>
              <a:srgbClr val="000000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Cálculos!$D$49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38100" cap="flat" cmpd="sng" algn="ctr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E9-4B74-BEB9-9DD7A6E818B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38100"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B37-4A22-B4BD-8BB726B6BB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 cap="flat" cmpd="sng" algn="ctr">
                <a:solidFill>
                  <a:srgbClr val="FFFF00"/>
                </a:solidFill>
                <a:prstDash val="solid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E9-4B74-BEB9-9DD7A6E818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1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Cálculos!$C$50:$C$53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Cálculos!$D$50:$D$53</c:f>
              <c:numCache>
                <c:formatCode>General</c:formatCode>
                <c:ptCount val="3"/>
                <c:pt idx="0">
                  <c:v>81</c:v>
                </c:pt>
                <c:pt idx="1">
                  <c:v>158</c:v>
                </c:pt>
                <c:pt idx="2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9-4B74-BEB9-9DD7A6E81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954656"/>
        <c:axId val="2082950496"/>
      </c:barChart>
      <c:catAx>
        <c:axId val="2082954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2950496"/>
        <c:crosses val="autoZero"/>
        <c:auto val="1"/>
        <c:lblAlgn val="ctr"/>
        <c:lblOffset val="100"/>
        <c:noMultiLvlLbl val="0"/>
      </c:catAx>
      <c:valAx>
        <c:axId val="2082950496"/>
        <c:scaling>
          <c:orientation val="minMax"/>
        </c:scaling>
        <c:delete val="0"/>
        <c:axPos val="b"/>
        <c:majorGridlines>
          <c:spPr>
            <a:ln w="571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295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D&#819;ashboard!B3"/><Relationship Id="rId7" Type="http://schemas.openxmlformats.org/officeDocument/2006/relationships/hyperlink" Target="#CAPA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CAPA!A90"/><Relationship Id="rId5" Type="http://schemas.openxmlformats.org/officeDocument/2006/relationships/hyperlink" Target="#D&#819;ashboard!AU2"/><Relationship Id="rId4" Type="http://schemas.openxmlformats.org/officeDocument/2006/relationships/hyperlink" Target="#D&#819;ashboard!Y2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hyperlink" Target="#D&#819;ashboard!AU2"/><Relationship Id="rId12" Type="http://schemas.openxmlformats.org/officeDocument/2006/relationships/image" Target="../media/image10.svg"/><Relationship Id="rId2" Type="http://schemas.openxmlformats.org/officeDocument/2006/relationships/image" Target="../media/image1.png"/><Relationship Id="rId16" Type="http://schemas.openxmlformats.org/officeDocument/2006/relationships/chart" Target="../charts/chart6.xml"/><Relationship Id="rId1" Type="http://schemas.openxmlformats.org/officeDocument/2006/relationships/hyperlink" Target="#CAPA!A1"/><Relationship Id="rId6" Type="http://schemas.openxmlformats.org/officeDocument/2006/relationships/hyperlink" Target="#D&#819;ashboard!Y2"/><Relationship Id="rId11" Type="http://schemas.openxmlformats.org/officeDocument/2006/relationships/image" Target="../media/image8.png"/><Relationship Id="rId5" Type="http://schemas.openxmlformats.org/officeDocument/2006/relationships/hyperlink" Target="#D&#819;ashboard!B3"/><Relationship Id="rId15" Type="http://schemas.openxmlformats.org/officeDocument/2006/relationships/image" Target="../media/image7.png"/><Relationship Id="rId10" Type="http://schemas.openxmlformats.org/officeDocument/2006/relationships/chart" Target="../charts/chart4.xml"/><Relationship Id="rId4" Type="http://schemas.openxmlformats.org/officeDocument/2006/relationships/chart" Target="../charts/chart1.xml"/><Relationship Id="rId9" Type="http://schemas.openxmlformats.org/officeDocument/2006/relationships/chart" Target="../charts/chart3.xml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11</xdr:row>
      <xdr:rowOff>0</xdr:rowOff>
    </xdr:from>
    <xdr:ext cx="304800" cy="291193"/>
    <xdr:sp macro="" textlink="">
      <xdr:nvSpPr>
        <xdr:cNvPr id="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19226893" y="884464"/>
          <a:ext cx="304800" cy="29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15</xdr:row>
      <xdr:rowOff>114300</xdr:rowOff>
    </xdr:from>
    <xdr:to>
      <xdr:col>21</xdr:col>
      <xdr:colOff>581025</xdr:colOff>
      <xdr:row>23</xdr:row>
      <xdr:rowOff>114300</xdr:rowOff>
    </xdr:to>
    <xdr:sp macro="" textlink="">
      <xdr:nvSpPr>
        <xdr:cNvPr id="22" name="Retângulo Arredondado 21"/>
        <xdr:cNvSpPr/>
      </xdr:nvSpPr>
      <xdr:spPr>
        <a:xfrm>
          <a:off x="2933700" y="2828925"/>
          <a:ext cx="12049125" cy="14478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solidFill>
                <a:srgbClr val="FF0000"/>
              </a:solidFill>
            </a:rPr>
            <a:t>DASHBOARD</a:t>
          </a:r>
        </a:p>
        <a:p>
          <a:pPr algn="ctr"/>
          <a:r>
            <a:rPr lang="pt-BR" sz="3200" b="1">
              <a:solidFill>
                <a:schemeClr val="accent1">
                  <a:lumMod val="75000"/>
                </a:schemeClr>
              </a:solidFill>
            </a:rPr>
            <a:t>ARRECADAÇÃO</a:t>
          </a:r>
          <a:r>
            <a:rPr lang="pt-BR" sz="3200" b="1" baseline="0">
              <a:solidFill>
                <a:schemeClr val="accent1">
                  <a:lumMod val="75000"/>
                </a:schemeClr>
              </a:solidFill>
            </a:rPr>
            <a:t> FINANCEIRA POR PERFIL DE CONTRATAÇÃO</a:t>
          </a:r>
          <a:endParaRPr lang="pt-BR" sz="3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19044</xdr:colOff>
      <xdr:row>2</xdr:row>
      <xdr:rowOff>47626</xdr:rowOff>
    </xdr:from>
    <xdr:to>
      <xdr:col>14</xdr:col>
      <xdr:colOff>647699</xdr:colOff>
      <xdr:row>15</xdr:row>
      <xdr:rowOff>138299</xdr:rowOff>
    </xdr:to>
    <xdr:grpSp>
      <xdr:nvGrpSpPr>
        <xdr:cNvPr id="20" name="Agrupar 19"/>
        <xdr:cNvGrpSpPr/>
      </xdr:nvGrpSpPr>
      <xdr:grpSpPr>
        <a:xfrm>
          <a:off x="7562844" y="409576"/>
          <a:ext cx="2686055" cy="2443348"/>
          <a:chOff x="6767259" y="1123950"/>
          <a:chExt cx="1556670" cy="1357496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3CBC93AC-1D1F-EA16-F025-2F127EBC68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r="68760"/>
          <a:stretch/>
        </xdr:blipFill>
        <xdr:spPr>
          <a:xfrm>
            <a:off x="7161960" y="1123950"/>
            <a:ext cx="708127" cy="624071"/>
          </a:xfrm>
          <a:prstGeom prst="rect">
            <a:avLst/>
          </a:prstGeom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7A6E36A2-663A-A57A-27C3-3BDD1AF9BB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331" t="24868" r="35965" b="21200"/>
          <a:stretch/>
        </xdr:blipFill>
        <xdr:spPr>
          <a:xfrm>
            <a:off x="6767259" y="1746660"/>
            <a:ext cx="1556670" cy="734786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342900</xdr:colOff>
      <xdr:row>25</xdr:row>
      <xdr:rowOff>90671</xdr:rowOff>
    </xdr:from>
    <xdr:to>
      <xdr:col>15</xdr:col>
      <xdr:colOff>190500</xdr:colOff>
      <xdr:row>40</xdr:row>
      <xdr:rowOff>48746</xdr:rowOff>
    </xdr:to>
    <xdr:grpSp>
      <xdr:nvGrpSpPr>
        <xdr:cNvPr id="18" name="Agrupar 17"/>
        <xdr:cNvGrpSpPr/>
      </xdr:nvGrpSpPr>
      <xdr:grpSpPr>
        <a:xfrm>
          <a:off x="7200900" y="4615046"/>
          <a:ext cx="3276600" cy="2672700"/>
          <a:chOff x="5886450" y="2833871"/>
          <a:chExt cx="3276600" cy="2672700"/>
        </a:xfrm>
      </xdr:grpSpPr>
      <xdr:sp macro="" textlink="">
        <xdr:nvSpPr>
          <xdr:cNvPr id="4" name="CaixaDeTexto 3">
            <a:hlinkClick xmlns:r="http://schemas.openxmlformats.org/officeDocument/2006/relationships" r:id="rId3"/>
          </xdr:cNvPr>
          <xdr:cNvSpPr txBox="1"/>
        </xdr:nvSpPr>
        <xdr:spPr>
          <a:xfrm>
            <a:off x="6537512" y="3141192"/>
            <a:ext cx="2028825" cy="7740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800" b="1">
                <a:solidFill>
                  <a:schemeClr val="bg1"/>
                </a:solidFill>
              </a:rPr>
              <a:t>RECEITA</a:t>
            </a:r>
          </a:p>
        </xdr:txBody>
      </xdr:sp>
      <xdr:sp macro="" textlink="">
        <xdr:nvSpPr>
          <xdr:cNvPr id="5" name="CaixaDeTexto 4">
            <a:hlinkClick xmlns:r="http://schemas.openxmlformats.org/officeDocument/2006/relationships" r:id="rId4"/>
          </xdr:cNvPr>
          <xdr:cNvSpPr txBox="1"/>
        </xdr:nvSpPr>
        <xdr:spPr>
          <a:xfrm>
            <a:off x="6477000" y="3762376"/>
            <a:ext cx="2106145" cy="7305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PLANOS E ASSINATURAS</a:t>
            </a:r>
          </a:p>
        </xdr:txBody>
      </xdr:sp>
      <xdr:sp macro="" textlink="">
        <xdr:nvSpPr>
          <xdr:cNvPr id="6" name="CaixaDeTexto 5">
            <a:hlinkClick xmlns:r="http://schemas.openxmlformats.org/officeDocument/2006/relationships" r:id="rId5"/>
          </xdr:cNvPr>
          <xdr:cNvSpPr txBox="1"/>
        </xdr:nvSpPr>
        <xdr:spPr>
          <a:xfrm>
            <a:off x="6508937" y="4503547"/>
            <a:ext cx="2028825" cy="5059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800" b="1">
                <a:solidFill>
                  <a:schemeClr val="bg1"/>
                </a:solidFill>
              </a:rPr>
              <a:t>PASSES</a:t>
            </a:r>
          </a:p>
        </xdr:txBody>
      </xdr:sp>
      <xdr:sp macro="" textlink="">
        <xdr:nvSpPr>
          <xdr:cNvPr id="7" name="CaixaDeTexto 6"/>
          <xdr:cNvSpPr txBox="1"/>
        </xdr:nvSpPr>
        <xdr:spPr>
          <a:xfrm>
            <a:off x="6730533" y="2833871"/>
            <a:ext cx="1628775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MENU</a:t>
            </a:r>
          </a:p>
        </xdr:txBody>
      </xdr:sp>
      <xdr:sp macro="" textlink="">
        <xdr:nvSpPr>
          <xdr:cNvPr id="8" name="Retângulo 7"/>
          <xdr:cNvSpPr/>
        </xdr:nvSpPr>
        <xdr:spPr>
          <a:xfrm>
            <a:off x="6616233" y="3071996"/>
            <a:ext cx="1828800" cy="571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CaixaDeTexto 8">
            <a:hlinkClick xmlns:r="http://schemas.openxmlformats.org/officeDocument/2006/relationships" r:id="rId6"/>
          </xdr:cNvPr>
          <xdr:cNvSpPr txBox="1"/>
        </xdr:nvSpPr>
        <xdr:spPr>
          <a:xfrm>
            <a:off x="5886450" y="5000625"/>
            <a:ext cx="3276600" cy="5059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800" b="1">
                <a:solidFill>
                  <a:schemeClr val="bg1"/>
                </a:solidFill>
              </a:rPr>
              <a:t>DOCUMENTAÇÃO</a:t>
            </a:r>
          </a:p>
        </xdr:txBody>
      </xdr:sp>
    </xdr:grpSp>
    <xdr:clientData/>
  </xdr:twoCellAnchor>
  <xdr:twoCellAnchor>
    <xdr:from>
      <xdr:col>3</xdr:col>
      <xdr:colOff>285750</xdr:colOff>
      <xdr:row>48</xdr:row>
      <xdr:rowOff>161924</xdr:rowOff>
    </xdr:from>
    <xdr:to>
      <xdr:col>7</xdr:col>
      <xdr:colOff>495300</xdr:colOff>
      <xdr:row>51</xdr:row>
      <xdr:rowOff>104774</xdr:rowOff>
    </xdr:to>
    <xdr:sp macro="" textlink="">
      <xdr:nvSpPr>
        <xdr:cNvPr id="10" name="CaixaDeTexto 9"/>
        <xdr:cNvSpPr txBox="1"/>
      </xdr:nvSpPr>
      <xdr:spPr>
        <a:xfrm>
          <a:off x="971550" y="8848724"/>
          <a:ext cx="2952750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000" b="1" i="1">
              <a:solidFill>
                <a:schemeClr val="accent4">
                  <a:lumMod val="50000"/>
                </a:schemeClr>
              </a:solidFill>
            </a:rPr>
            <a:t>DOCUMENTAÇÃO</a:t>
          </a:r>
        </a:p>
      </xdr:txBody>
    </xdr:sp>
    <xdr:clientData/>
  </xdr:twoCellAnchor>
  <xdr:twoCellAnchor>
    <xdr:from>
      <xdr:col>3</xdr:col>
      <xdr:colOff>352425</xdr:colOff>
      <xdr:row>63</xdr:row>
      <xdr:rowOff>114300</xdr:rowOff>
    </xdr:from>
    <xdr:to>
      <xdr:col>19</xdr:col>
      <xdr:colOff>171450</xdr:colOff>
      <xdr:row>70</xdr:row>
      <xdr:rowOff>142874</xdr:rowOff>
    </xdr:to>
    <xdr:sp macro="" textlink="">
      <xdr:nvSpPr>
        <xdr:cNvPr id="11" name="CaixaDeTexto 10"/>
        <xdr:cNvSpPr txBox="1"/>
      </xdr:nvSpPr>
      <xdr:spPr>
        <a:xfrm>
          <a:off x="1038225" y="11515725"/>
          <a:ext cx="10791825" cy="1295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accent6">
                  <a:lumMod val="75000"/>
                </a:schemeClr>
              </a:solidFill>
            </a:rPr>
            <a:t>PAINEL</a:t>
          </a:r>
          <a:r>
            <a:rPr lang="pt-BR" sz="1800" b="1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pt-BR" sz="1800" b="1">
              <a:solidFill>
                <a:schemeClr val="accent6">
                  <a:lumMod val="75000"/>
                </a:schemeClr>
              </a:solidFill>
            </a:rPr>
            <a:t>RECEITA</a:t>
          </a:r>
        </a:p>
        <a:p>
          <a:endParaRPr lang="pt-BR" sz="1100"/>
        </a:p>
        <a:p>
          <a:r>
            <a:rPr lang="pt-BR" sz="1600" b="1" i="1">
              <a:latin typeface="+mj-lt"/>
            </a:rPr>
            <a:t>Painel</a:t>
          </a:r>
          <a:r>
            <a:rPr lang="pt-BR" sz="1600" b="1" i="1" baseline="0">
              <a:latin typeface="+mj-lt"/>
            </a:rPr>
            <a:t> de amostra geral, valor arrecado liquuido e bruto, valor total de cupons de descontos fornecidos e ticket médio de compra. Segudo por um gráfico histórico comportamental de vendas totais no ano.</a:t>
          </a:r>
          <a:endParaRPr lang="pt-BR" sz="1600" b="1" i="1">
            <a:latin typeface="+mj-lt"/>
          </a:endParaRPr>
        </a:p>
      </xdr:txBody>
    </xdr:sp>
    <xdr:clientData/>
  </xdr:twoCellAnchor>
  <xdr:twoCellAnchor>
    <xdr:from>
      <xdr:col>3</xdr:col>
      <xdr:colOff>342899</xdr:colOff>
      <xdr:row>71</xdr:row>
      <xdr:rowOff>95249</xdr:rowOff>
    </xdr:from>
    <xdr:to>
      <xdr:col>19</xdr:col>
      <xdr:colOff>276224</xdr:colOff>
      <xdr:row>79</xdr:row>
      <xdr:rowOff>114300</xdr:rowOff>
    </xdr:to>
    <xdr:sp macro="" textlink="">
      <xdr:nvSpPr>
        <xdr:cNvPr id="12" name="CaixaDeTexto 11"/>
        <xdr:cNvSpPr txBox="1"/>
      </xdr:nvSpPr>
      <xdr:spPr>
        <a:xfrm>
          <a:off x="1028699" y="12944474"/>
          <a:ext cx="10906125" cy="1466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accent6">
                  <a:lumMod val="75000"/>
                </a:schemeClr>
              </a:solidFill>
            </a:rPr>
            <a:t>PAINEL</a:t>
          </a:r>
          <a:r>
            <a:rPr lang="pt-BR" sz="1800" b="1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pt-BR" sz="1800" b="1">
              <a:solidFill>
                <a:schemeClr val="accent6">
                  <a:lumMod val="75000"/>
                </a:schemeClr>
              </a:solidFill>
            </a:rPr>
            <a:t>PLANOS E ASSINATURAS</a:t>
          </a:r>
        </a:p>
        <a:p>
          <a:endParaRPr lang="pt-BR" sz="1100"/>
        </a:p>
        <a:p>
          <a:r>
            <a:rPr lang="pt-BR" sz="1600" b="1" i="1">
              <a:latin typeface="+mj-lt"/>
            </a:rPr>
            <a:t>Painel</a:t>
          </a:r>
          <a:r>
            <a:rPr lang="pt-BR" sz="1600" b="1" i="1" baseline="0">
              <a:latin typeface="+mj-lt"/>
            </a:rPr>
            <a:t> de amostra geral, valor bruto arrecadado pela venda de planos, tipo de plano e quantidade vendida, seguido pelo display de plano e assinatura mais vendidos no histórico. Gráfico histórico de valor total e quantidade vendida por tipo de plano. Seguido pelo painel de vendas de assinaturas por tipo de plano.</a:t>
          </a:r>
          <a:endParaRPr lang="pt-BR" sz="1600" b="1" i="1">
            <a:latin typeface="+mj-lt"/>
          </a:endParaRPr>
        </a:p>
      </xdr:txBody>
    </xdr:sp>
    <xdr:clientData/>
  </xdr:twoCellAnchor>
  <xdr:twoCellAnchor>
    <xdr:from>
      <xdr:col>3</xdr:col>
      <xdr:colOff>342900</xdr:colOff>
      <xdr:row>80</xdr:row>
      <xdr:rowOff>9525</xdr:rowOff>
    </xdr:from>
    <xdr:to>
      <xdr:col>19</xdr:col>
      <xdr:colOff>85725</xdr:colOff>
      <xdr:row>85</xdr:row>
      <xdr:rowOff>57150</xdr:rowOff>
    </xdr:to>
    <xdr:sp macro="" textlink="">
      <xdr:nvSpPr>
        <xdr:cNvPr id="13" name="CaixaDeTexto 12"/>
        <xdr:cNvSpPr txBox="1"/>
      </xdr:nvSpPr>
      <xdr:spPr>
        <a:xfrm>
          <a:off x="1028700" y="14487525"/>
          <a:ext cx="10715625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>
              <a:solidFill>
                <a:schemeClr val="accent6">
                  <a:lumMod val="75000"/>
                </a:schemeClr>
              </a:solidFill>
            </a:rPr>
            <a:t>PAINEL</a:t>
          </a:r>
          <a:r>
            <a:rPr lang="pt-BR" sz="1800" b="1" baseline="0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pt-BR" sz="1800" b="1">
              <a:solidFill>
                <a:schemeClr val="accent6">
                  <a:lumMod val="75000"/>
                </a:schemeClr>
              </a:solidFill>
            </a:rPr>
            <a:t>PASSES</a:t>
          </a:r>
        </a:p>
        <a:p>
          <a:endParaRPr lang="pt-BR" sz="1100"/>
        </a:p>
        <a:p>
          <a:r>
            <a:rPr lang="pt-BR" sz="1600" b="1" i="1">
              <a:latin typeface="+mj-lt"/>
            </a:rPr>
            <a:t>Valor </a:t>
          </a:r>
          <a:r>
            <a:rPr lang="pt-BR" sz="1600" b="1" i="1" baseline="0">
              <a:latin typeface="+mj-lt"/>
            </a:rPr>
            <a:t>bruto arrecadado pela venda de passes e quantidade vendida.</a:t>
          </a:r>
          <a:endParaRPr lang="pt-BR" sz="1600" b="1" i="1">
            <a:latin typeface="+mj-lt"/>
          </a:endParaRPr>
        </a:p>
      </xdr:txBody>
    </xdr:sp>
    <xdr:clientData/>
  </xdr:twoCellAnchor>
  <xdr:twoCellAnchor>
    <xdr:from>
      <xdr:col>3</xdr:col>
      <xdr:colOff>323850</xdr:colOff>
      <xdr:row>53</xdr:row>
      <xdr:rowOff>57149</xdr:rowOff>
    </xdr:from>
    <xdr:to>
      <xdr:col>19</xdr:col>
      <xdr:colOff>228600</xdr:colOff>
      <xdr:row>62</xdr:row>
      <xdr:rowOff>133350</xdr:rowOff>
    </xdr:to>
    <xdr:sp macro="" textlink="">
      <xdr:nvSpPr>
        <xdr:cNvPr id="14" name="CaixaDeTexto 13"/>
        <xdr:cNvSpPr txBox="1"/>
      </xdr:nvSpPr>
      <xdr:spPr>
        <a:xfrm>
          <a:off x="1009650" y="9648824"/>
          <a:ext cx="10877550" cy="1704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>
              <a:solidFill>
                <a:srgbClr val="FF0000"/>
              </a:solidFill>
            </a:rPr>
            <a:t>IMPORTANTE!</a:t>
          </a:r>
        </a:p>
        <a:p>
          <a:endParaRPr lang="pt-BR" sz="1100"/>
        </a:p>
        <a:p>
          <a:r>
            <a:rPr lang="pt-BR" sz="1600" b="1" i="1">
              <a:latin typeface="+mj-lt"/>
            </a:rPr>
            <a:t>O</a:t>
          </a:r>
          <a:r>
            <a:rPr lang="pt-BR" sz="1600" b="1" i="1" baseline="0">
              <a:latin typeface="+mj-lt"/>
            </a:rPr>
            <a:t> relatório é filtrado pelo tipo de plano (anual, mensal ou quartenário) seguido pelo histórico. Quando todos os tipos de plano estiverem selecionados no filtro a esquerda, indica visão de valores total. Para acompanhar um tipo de plano especifico, selecione apenas o qual deseja avaliar. O filtro histórico trará os resultados para o Mês ou o periodo selecionado</a:t>
          </a:r>
          <a:endParaRPr lang="pt-BR" sz="1600" b="1" i="1">
            <a:latin typeface="+mj-lt"/>
          </a:endParaRPr>
        </a:p>
      </xdr:txBody>
    </xdr:sp>
    <xdr:clientData/>
  </xdr:twoCellAnchor>
  <xdr:twoCellAnchor>
    <xdr:from>
      <xdr:col>18</xdr:col>
      <xdr:colOff>438150</xdr:colOff>
      <xdr:row>84</xdr:row>
      <xdr:rowOff>133350</xdr:rowOff>
    </xdr:from>
    <xdr:to>
      <xdr:col>23</xdr:col>
      <xdr:colOff>552450</xdr:colOff>
      <xdr:row>87</xdr:row>
      <xdr:rowOff>47625</xdr:rowOff>
    </xdr:to>
    <xdr:grpSp>
      <xdr:nvGrpSpPr>
        <xdr:cNvPr id="17" name="Agrupar 16">
          <a:hlinkClick xmlns:r="http://schemas.openxmlformats.org/officeDocument/2006/relationships" r:id="rId7"/>
        </xdr:cNvPr>
        <xdr:cNvGrpSpPr/>
      </xdr:nvGrpSpPr>
      <xdr:grpSpPr>
        <a:xfrm>
          <a:off x="12782550" y="15335250"/>
          <a:ext cx="3543300" cy="457200"/>
          <a:chOff x="11410950" y="15335250"/>
          <a:chExt cx="3543300" cy="457200"/>
        </a:xfrm>
      </xdr:grpSpPr>
      <xdr:sp macro="" textlink="">
        <xdr:nvSpPr>
          <xdr:cNvPr id="15" name="Retângulo Arredondado 14"/>
          <xdr:cNvSpPr/>
        </xdr:nvSpPr>
        <xdr:spPr>
          <a:xfrm>
            <a:off x="11410950" y="15335250"/>
            <a:ext cx="3543300" cy="457200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CaixaDeTexto 15"/>
          <xdr:cNvSpPr txBox="1"/>
        </xdr:nvSpPr>
        <xdr:spPr>
          <a:xfrm>
            <a:off x="12468225" y="15478125"/>
            <a:ext cx="173355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VOLTAR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285749</xdr:colOff>
      <xdr:row>6</xdr:row>
      <xdr:rowOff>34636</xdr:rowOff>
    </xdr:from>
    <xdr:to>
      <xdr:col>14</xdr:col>
      <xdr:colOff>6305549</xdr:colOff>
      <xdr:row>19</xdr:row>
      <xdr:rowOff>69272</xdr:rowOff>
    </xdr:to>
    <xdr:sp macro="" textlink="">
      <xdr:nvSpPr>
        <xdr:cNvPr id="160" name="Retângulo Arredondado 159"/>
        <xdr:cNvSpPr/>
      </xdr:nvSpPr>
      <xdr:spPr>
        <a:xfrm>
          <a:off x="2571749" y="2282536"/>
          <a:ext cx="15039975" cy="2444461"/>
        </a:xfrm>
        <a:prstGeom prst="roundRect">
          <a:avLst>
            <a:gd name="adj" fmla="val 13939"/>
          </a:avLst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1708802</xdr:colOff>
      <xdr:row>5</xdr:row>
      <xdr:rowOff>116721</xdr:rowOff>
    </xdr:from>
    <xdr:to>
      <xdr:col>29</xdr:col>
      <xdr:colOff>14025</xdr:colOff>
      <xdr:row>17</xdr:row>
      <xdr:rowOff>59870</xdr:rowOff>
    </xdr:to>
    <xdr:grpSp>
      <xdr:nvGrpSpPr>
        <xdr:cNvPr id="80" name="Agrupar 79"/>
        <xdr:cNvGrpSpPr/>
      </xdr:nvGrpSpPr>
      <xdr:grpSpPr>
        <a:xfrm>
          <a:off x="23301977" y="2231271"/>
          <a:ext cx="8801773" cy="2124374"/>
          <a:chOff x="21963174" y="1236690"/>
          <a:chExt cx="3177588" cy="2249079"/>
        </a:xfrm>
      </xdr:grpSpPr>
      <xdr:sp macro="" textlink="">
        <xdr:nvSpPr>
          <xdr:cNvPr id="128" name="Retângulo Arredondado 127"/>
          <xdr:cNvSpPr/>
        </xdr:nvSpPr>
        <xdr:spPr>
          <a:xfrm>
            <a:off x="21972386" y="1278045"/>
            <a:ext cx="3105150" cy="542924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600"/>
          </a:p>
        </xdr:txBody>
      </xdr:sp>
      <xdr:grpSp>
        <xdr:nvGrpSpPr>
          <xdr:cNvPr id="77" name="Agrupar 76"/>
          <xdr:cNvGrpSpPr/>
        </xdr:nvGrpSpPr>
        <xdr:grpSpPr>
          <a:xfrm>
            <a:off x="21963174" y="1236690"/>
            <a:ext cx="3177588" cy="2249079"/>
            <a:chOff x="21963174" y="1236690"/>
            <a:chExt cx="3177588" cy="2249079"/>
          </a:xfrm>
        </xdr:grpSpPr>
        <xdr:grpSp>
          <xdr:nvGrpSpPr>
            <xdr:cNvPr id="65" name="Agrupar 64"/>
            <xdr:cNvGrpSpPr/>
          </xdr:nvGrpSpPr>
          <xdr:grpSpPr>
            <a:xfrm>
              <a:off x="22340012" y="1236690"/>
              <a:ext cx="2800750" cy="1387175"/>
              <a:chOff x="22340012" y="1236690"/>
              <a:chExt cx="2800750" cy="1387175"/>
            </a:xfrm>
          </xdr:grpSpPr>
          <xdr:sp macro="" textlink="">
            <xdr:nvSpPr>
              <xdr:cNvPr id="127" name="Retângulo Arredondado 126"/>
              <xdr:cNvSpPr/>
            </xdr:nvSpPr>
            <xdr:spPr>
              <a:xfrm>
                <a:off x="24135708" y="2184982"/>
                <a:ext cx="933763" cy="438883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600"/>
              </a:p>
            </xdr:txBody>
          </xdr:sp>
          <xdr:grpSp>
            <xdr:nvGrpSpPr>
              <xdr:cNvPr id="93" name="Agrupar 92"/>
              <xdr:cNvGrpSpPr/>
            </xdr:nvGrpSpPr>
            <xdr:grpSpPr>
              <a:xfrm>
                <a:off x="22340012" y="1236690"/>
                <a:ext cx="2800750" cy="1315180"/>
                <a:chOff x="10796942" y="863028"/>
                <a:chExt cx="1711731" cy="1045881"/>
              </a:xfrm>
            </xdr:grpSpPr>
            <xdr:grpSp>
              <xdr:nvGrpSpPr>
                <xdr:cNvPr id="91" name="Agrupar 90"/>
                <xdr:cNvGrpSpPr/>
              </xdr:nvGrpSpPr>
              <xdr:grpSpPr>
                <a:xfrm>
                  <a:off x="11878961" y="1321467"/>
                  <a:ext cx="629712" cy="587442"/>
                  <a:chOff x="12180288" y="1338033"/>
                  <a:chExt cx="514915" cy="587442"/>
                </a:xfrm>
              </xdr:grpSpPr>
              <xdr:sp macro="" textlink="">
                <xdr:nvSpPr>
                  <xdr:cNvPr id="36" name="CaixaDeTexto 35"/>
                  <xdr:cNvSpPr txBox="1"/>
                </xdr:nvSpPr>
                <xdr:spPr>
                  <a:xfrm>
                    <a:off x="12180288" y="1338033"/>
                    <a:ext cx="514915" cy="34887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l"/>
                    <a:r>
                      <a:rPr lang="pt-BR" sz="1600" b="1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Qtd</a:t>
                    </a:r>
                    <a:r>
                      <a:rPr lang="pt-BR" sz="1600" b="1" baseline="0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 Total V</a:t>
                    </a:r>
                    <a:r>
                      <a:rPr lang="pt-BR" sz="1600" b="1">
                        <a:solidFill>
                          <a:schemeClr val="accent1">
                            <a:lumMod val="75000"/>
                          </a:schemeClr>
                        </a:solidFill>
                      </a:rPr>
                      <a:t>endida</a:t>
                    </a:r>
                  </a:p>
                </xdr:txBody>
              </xdr:sp>
              <xdr:sp macro="" textlink="Cálculos!E23">
                <xdr:nvSpPr>
                  <xdr:cNvPr id="39" name="Retângulo 38"/>
                  <xdr:cNvSpPr/>
                </xdr:nvSpPr>
                <xdr:spPr>
                  <a:xfrm>
                    <a:off x="12273941" y="1667537"/>
                    <a:ext cx="337901" cy="257938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93219103-CAFA-47D7-B1C4-EFBD2AC63E1D}" type="TxLink">
                      <a:rPr lang="en-US" sz="1800" b="1" i="0" u="none" strike="noStrike">
                        <a:solidFill>
                          <a:srgbClr val="FF0000"/>
                        </a:solidFill>
                        <a:latin typeface="Aptos Narrow"/>
                      </a:rPr>
                      <a:pPr algn="ctr"/>
                      <a:t>335</a:t>
                    </a:fld>
                    <a:endParaRPr lang="pt-BR" sz="11500" b="1">
                      <a:solidFill>
                        <a:srgbClr val="FF0000"/>
                      </a:solidFill>
                    </a:endParaRPr>
                  </a:p>
                </xdr:txBody>
              </xdr:sp>
            </xdr:grpSp>
            <xdr:grpSp>
              <xdr:nvGrpSpPr>
                <xdr:cNvPr id="92" name="Agrupar 91"/>
                <xdr:cNvGrpSpPr/>
              </xdr:nvGrpSpPr>
              <xdr:grpSpPr>
                <a:xfrm>
                  <a:off x="10796942" y="863028"/>
                  <a:ext cx="1521884" cy="444247"/>
                  <a:chOff x="11189756" y="945855"/>
                  <a:chExt cx="1244443" cy="444247"/>
                </a:xfrm>
              </xdr:grpSpPr>
              <xdr:sp macro="" textlink="">
                <xdr:nvSpPr>
                  <xdr:cNvPr id="45" name="CaixaDeTexto 44"/>
                  <xdr:cNvSpPr txBox="1"/>
                </xdr:nvSpPr>
                <xdr:spPr>
                  <a:xfrm>
                    <a:off x="11189756" y="945855"/>
                    <a:ext cx="1244443" cy="30122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pt-BR" sz="1400" b="1"/>
                      <a:t>Valor Total</a:t>
                    </a:r>
                    <a:r>
                      <a:rPr lang="pt-BR" sz="1400" b="1" baseline="0"/>
                      <a:t> Vendido</a:t>
                    </a:r>
                    <a:endParaRPr lang="pt-BR" sz="1400" b="1"/>
                  </a:p>
                </xdr:txBody>
              </xdr:sp>
              <xdr:sp macro="" textlink="Cálculos!E24">
                <xdr:nvSpPr>
                  <xdr:cNvPr id="46" name="Retângulo 45"/>
                  <xdr:cNvSpPr/>
                </xdr:nvSpPr>
                <xdr:spPr>
                  <a:xfrm>
                    <a:off x="11303033" y="1172931"/>
                    <a:ext cx="963094" cy="217171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algn="ctr"/>
                    <a:fld id="{DB9C4362-31A8-4556-AC13-5F514CAB2E2A}" type="TxLink">
                      <a:rPr lang="en-US" sz="1600" b="1" i="0" u="none" strike="noStrike">
                        <a:solidFill>
                          <a:srgbClr val="FF0000"/>
                        </a:solidFill>
                        <a:latin typeface="Aptos Narrow"/>
                      </a:rPr>
                      <a:pPr algn="ctr"/>
                      <a:t> R$ 3.330,00 </a:t>
                    </a:fld>
                    <a:endParaRPr lang="pt-BR" sz="102800" b="1">
                      <a:solidFill>
                        <a:srgbClr val="FF0000"/>
                      </a:solidFill>
                    </a:endParaRPr>
                  </a:p>
                </xdr:txBody>
              </xdr:sp>
            </xdr:grpSp>
          </xdr:grpSp>
        </xdr:grpSp>
        <xdr:grpSp>
          <xdr:nvGrpSpPr>
            <xdr:cNvPr id="62" name="Agrupar 61"/>
            <xdr:cNvGrpSpPr/>
          </xdr:nvGrpSpPr>
          <xdr:grpSpPr>
            <a:xfrm>
              <a:off x="21963174" y="2702221"/>
              <a:ext cx="1435989" cy="783548"/>
              <a:chOff x="24211074" y="2254546"/>
              <a:chExt cx="1435989" cy="783548"/>
            </a:xfrm>
          </xdr:grpSpPr>
          <xdr:sp macro="" textlink="">
            <xdr:nvSpPr>
              <xdr:cNvPr id="129" name="Retângulo Arredondado 128"/>
              <xdr:cNvSpPr/>
            </xdr:nvSpPr>
            <xdr:spPr>
              <a:xfrm>
                <a:off x="24212638" y="2579262"/>
                <a:ext cx="1434425" cy="425641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600"/>
              </a:p>
            </xdr:txBody>
          </xdr:sp>
          <xdr:grpSp>
            <xdr:nvGrpSpPr>
              <xdr:cNvPr id="94" name="Agrupar 93"/>
              <xdr:cNvGrpSpPr/>
            </xdr:nvGrpSpPr>
            <xdr:grpSpPr>
              <a:xfrm>
                <a:off x="24211074" y="2254546"/>
                <a:ext cx="1079009" cy="783548"/>
                <a:chOff x="12789499" y="1840712"/>
                <a:chExt cx="613845" cy="412089"/>
              </a:xfrm>
            </xdr:grpSpPr>
            <xdr:sp macro="" textlink="">
              <xdr:nvSpPr>
                <xdr:cNvPr id="54" name="CaixaDeTexto 53"/>
                <xdr:cNvSpPr txBox="1"/>
              </xdr:nvSpPr>
              <xdr:spPr>
                <a:xfrm>
                  <a:off x="12789499" y="1840712"/>
                  <a:ext cx="527403" cy="25877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pt-BR" sz="1600" b="1">
                      <a:solidFill>
                        <a:schemeClr val="accent1">
                          <a:lumMod val="75000"/>
                        </a:schemeClr>
                      </a:solidFill>
                    </a:rPr>
                    <a:t>Plano mais</a:t>
                  </a:r>
                  <a:r>
                    <a:rPr lang="pt-BR" sz="1600" b="1" baseline="0">
                      <a:solidFill>
                        <a:schemeClr val="accent1">
                          <a:lumMod val="75000"/>
                        </a:schemeClr>
                      </a:solidFill>
                    </a:rPr>
                    <a:t> Vendido</a:t>
                  </a:r>
                </a:p>
              </xdr:txBody>
            </xdr:sp>
            <xdr:sp macro="" textlink="Cálculos!F53">
              <xdr:nvSpPr>
                <xdr:cNvPr id="55" name="Retângulo 54"/>
                <xdr:cNvSpPr/>
              </xdr:nvSpPr>
              <xdr:spPr>
                <a:xfrm>
                  <a:off x="13029491" y="2020706"/>
                  <a:ext cx="373853" cy="23209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fld id="{1E51EA14-9B0B-404B-80DC-9A93337D4964}" type="TxLink">
                    <a:rPr lang="en-US" sz="2000" b="1" i="0" u="none" strike="noStrike">
                      <a:solidFill>
                        <a:schemeClr val="tx1"/>
                      </a:solidFill>
                      <a:latin typeface="Aptos Narrow"/>
                    </a:rPr>
                    <a:pPr algn="ctr"/>
                    <a:t>Monthly</a:t>
                  </a:fld>
                  <a:endParaRPr lang="en-US" sz="19900" b="1" i="0" u="none" strike="noStrike">
                    <a:solidFill>
                      <a:schemeClr val="tx1"/>
                    </a:solidFill>
                    <a:latin typeface="Aptos Narrow"/>
                  </a:endParaRPr>
                </a:p>
              </xdr:txBody>
            </xdr:sp>
          </xdr:grpSp>
        </xdr:grpSp>
      </xdr:grpSp>
    </xdr:grpSp>
    <xdr:clientData/>
  </xdr:twoCellAnchor>
  <xdr:twoCellAnchor>
    <xdr:from>
      <xdr:col>0</xdr:col>
      <xdr:colOff>389151</xdr:colOff>
      <xdr:row>0</xdr:row>
      <xdr:rowOff>261754</xdr:rowOff>
    </xdr:from>
    <xdr:to>
      <xdr:col>0</xdr:col>
      <xdr:colOff>1945821</xdr:colOff>
      <xdr:row>2</xdr:row>
      <xdr:rowOff>466725</xdr:rowOff>
    </xdr:to>
    <xdr:grpSp>
      <xdr:nvGrpSpPr>
        <xdr:cNvPr id="20" name="Agrupar 19">
          <a:hlinkClick xmlns:r="http://schemas.openxmlformats.org/officeDocument/2006/relationships" r:id="rId1"/>
        </xdr:cNvPr>
        <xdr:cNvGrpSpPr/>
      </xdr:nvGrpSpPr>
      <xdr:grpSpPr>
        <a:xfrm>
          <a:off x="389151" y="261754"/>
          <a:ext cx="1556670" cy="1357496"/>
          <a:chOff x="389151" y="261754"/>
          <a:chExt cx="1556670" cy="1357496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3CBC93AC-1D1F-EA16-F025-2F127EBC689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68760"/>
          <a:stretch/>
        </xdr:blipFill>
        <xdr:spPr>
          <a:xfrm>
            <a:off x="783852" y="261754"/>
            <a:ext cx="708127" cy="624071"/>
          </a:xfrm>
          <a:prstGeom prst="rect">
            <a:avLst/>
          </a:prstGeom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7A6E36A2-663A-A57A-27C3-3BDD1AF9BB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331" t="24868" r="35965" b="21200"/>
          <a:stretch/>
        </xdr:blipFill>
        <xdr:spPr>
          <a:xfrm>
            <a:off x="389151" y="884464"/>
            <a:ext cx="1556670" cy="734786"/>
          </a:xfrm>
          <a:prstGeom prst="rect">
            <a:avLst/>
          </a:prstGeom>
        </xdr:spPr>
      </xdr:pic>
    </xdr:grpSp>
    <xdr:clientData/>
  </xdr:twoCellAnchor>
  <xdr:twoCellAnchor>
    <xdr:from>
      <xdr:col>39</xdr:col>
      <xdr:colOff>207518</xdr:colOff>
      <xdr:row>2</xdr:row>
      <xdr:rowOff>250181</xdr:rowOff>
    </xdr:from>
    <xdr:to>
      <xdr:col>41</xdr:col>
      <xdr:colOff>1602921</xdr:colOff>
      <xdr:row>3</xdr:row>
      <xdr:rowOff>216353</xdr:rowOff>
    </xdr:to>
    <xdr:sp macro="" textlink="">
      <xdr:nvSpPr>
        <xdr:cNvPr id="73" name="CaixaDeTexto 72"/>
        <xdr:cNvSpPr txBox="1"/>
      </xdr:nvSpPr>
      <xdr:spPr>
        <a:xfrm>
          <a:off x="43138054" y="1406788"/>
          <a:ext cx="2756117" cy="456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>
              <a:solidFill>
                <a:schemeClr val="accent6">
                  <a:lumMod val="75000"/>
                </a:schemeClr>
              </a:solidFill>
            </a:rPr>
            <a:t>PASSES</a:t>
          </a:r>
        </a:p>
      </xdr:txBody>
    </xdr:sp>
    <xdr:clientData/>
  </xdr:twoCellAnchor>
  <xdr:twoCellAnchor>
    <xdr:from>
      <xdr:col>19</xdr:col>
      <xdr:colOff>2837385</xdr:colOff>
      <xdr:row>2</xdr:row>
      <xdr:rowOff>204108</xdr:rowOff>
    </xdr:from>
    <xdr:to>
      <xdr:col>27</xdr:col>
      <xdr:colOff>217714</xdr:colOff>
      <xdr:row>4</xdr:row>
      <xdr:rowOff>8658</xdr:rowOff>
    </xdr:to>
    <xdr:sp macro="" textlink="">
      <xdr:nvSpPr>
        <xdr:cNvPr id="75" name="CaixaDeTexto 74"/>
        <xdr:cNvSpPr txBox="1"/>
      </xdr:nvSpPr>
      <xdr:spPr>
        <a:xfrm>
          <a:off x="23669921" y="1360715"/>
          <a:ext cx="6578757" cy="525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3200" b="1" i="1">
              <a:solidFill>
                <a:schemeClr val="accent6">
                  <a:lumMod val="75000"/>
                </a:schemeClr>
              </a:solidFill>
            </a:rPr>
            <a:t>PLANOS E ASSINATURAS</a:t>
          </a:r>
        </a:p>
      </xdr:txBody>
    </xdr:sp>
    <xdr:clientData/>
  </xdr:twoCellAnchor>
  <xdr:twoCellAnchor>
    <xdr:from>
      <xdr:col>2</xdr:col>
      <xdr:colOff>1</xdr:colOff>
      <xdr:row>20</xdr:row>
      <xdr:rowOff>100853</xdr:rowOff>
    </xdr:from>
    <xdr:to>
      <xdr:col>14</xdr:col>
      <xdr:colOff>6321137</xdr:colOff>
      <xdr:row>63</xdr:row>
      <xdr:rowOff>23812</xdr:rowOff>
    </xdr:to>
    <xdr:grpSp>
      <xdr:nvGrpSpPr>
        <xdr:cNvPr id="53" name="Agrupar 52"/>
        <xdr:cNvGrpSpPr/>
      </xdr:nvGrpSpPr>
      <xdr:grpSpPr>
        <a:xfrm>
          <a:off x="2571751" y="4939553"/>
          <a:ext cx="15055561" cy="7704884"/>
          <a:chOff x="2342831" y="5121088"/>
          <a:chExt cx="15563504" cy="5873482"/>
        </a:xfrm>
      </xdr:grpSpPr>
      <xdr:sp macro="" textlink="">
        <xdr:nvSpPr>
          <xdr:cNvPr id="99" name="Retângulo Arredondado 98"/>
          <xdr:cNvSpPr/>
        </xdr:nvSpPr>
        <xdr:spPr>
          <a:xfrm>
            <a:off x="2342831" y="5121088"/>
            <a:ext cx="15563504" cy="5873482"/>
          </a:xfrm>
          <a:prstGeom prst="roundRect">
            <a:avLst>
              <a:gd name="adj" fmla="val 5417"/>
            </a:avLst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00"/>
          </a:p>
        </xdr:txBody>
      </xdr:sp>
      <xdr:grpSp>
        <xdr:nvGrpSpPr>
          <xdr:cNvPr id="88" name="Agrupar 87"/>
          <xdr:cNvGrpSpPr/>
        </xdr:nvGrpSpPr>
        <xdr:grpSpPr>
          <a:xfrm>
            <a:off x="2842588" y="5501776"/>
            <a:ext cx="14585403" cy="5143848"/>
            <a:chOff x="3079493" y="5297434"/>
            <a:chExt cx="8490102" cy="4915844"/>
          </a:xfrm>
        </xdr:grpSpPr>
        <xdr:graphicFrame macro="">
          <xdr:nvGraphicFramePr>
            <xdr:cNvPr id="7" name="Gráfico 6"/>
            <xdr:cNvGraphicFramePr>
              <a:graphicFrameLocks/>
            </xdr:cNvGraphicFramePr>
          </xdr:nvGraphicFramePr>
          <xdr:xfrm>
            <a:off x="3079493" y="5325064"/>
            <a:ext cx="8490102" cy="488821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">
          <xdr:nvSpPr>
            <xdr:cNvPr id="34" name="CaixaDeTexto 33"/>
            <xdr:cNvSpPr txBox="1"/>
          </xdr:nvSpPr>
          <xdr:spPr>
            <a:xfrm>
              <a:off x="3991264" y="5297434"/>
              <a:ext cx="6836061" cy="581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3600" b="1" i="1" baseline="0">
                  <a:solidFill>
                    <a:schemeClr val="bg1"/>
                  </a:solidFill>
                </a:rPr>
                <a:t>GRÁFICO COMPORTAMENTAL DE VENDAS MENSAL</a:t>
              </a:r>
            </a:p>
          </xdr:txBody>
        </xdr:sp>
      </xdr:grpSp>
    </xdr:grpSp>
    <xdr:clientData/>
  </xdr:twoCellAnchor>
  <xdr:twoCellAnchor>
    <xdr:from>
      <xdr:col>2</xdr:col>
      <xdr:colOff>228601</xdr:colOff>
      <xdr:row>7</xdr:row>
      <xdr:rowOff>112173</xdr:rowOff>
    </xdr:from>
    <xdr:to>
      <xdr:col>14</xdr:col>
      <xdr:colOff>6049100</xdr:colOff>
      <xdr:row>17</xdr:row>
      <xdr:rowOff>113859</xdr:rowOff>
    </xdr:to>
    <xdr:grpSp>
      <xdr:nvGrpSpPr>
        <xdr:cNvPr id="50" name="Agrupar 49"/>
        <xdr:cNvGrpSpPr/>
      </xdr:nvGrpSpPr>
      <xdr:grpSpPr>
        <a:xfrm>
          <a:off x="2800351" y="2483898"/>
          <a:ext cx="14554924" cy="1925736"/>
          <a:chOff x="3092598" y="1529424"/>
          <a:chExt cx="13912974" cy="2024321"/>
        </a:xfrm>
      </xdr:grpSpPr>
      <xdr:grpSp>
        <xdr:nvGrpSpPr>
          <xdr:cNvPr id="68" name="Agrupar 67"/>
          <xdr:cNvGrpSpPr/>
        </xdr:nvGrpSpPr>
        <xdr:grpSpPr>
          <a:xfrm>
            <a:off x="7892172" y="1529424"/>
            <a:ext cx="4371212" cy="943394"/>
            <a:chOff x="7609431" y="-1799732"/>
            <a:chExt cx="8099365" cy="4732057"/>
          </a:xfrm>
        </xdr:grpSpPr>
        <xdr:sp macro="" textlink="">
          <xdr:nvSpPr>
            <xdr:cNvPr id="66" name="Retângulo Arredondado 65"/>
            <xdr:cNvSpPr/>
          </xdr:nvSpPr>
          <xdr:spPr>
            <a:xfrm>
              <a:off x="7609431" y="-1799732"/>
              <a:ext cx="8099365" cy="4732057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00"/>
            </a:p>
          </xdr:txBody>
        </xdr:sp>
        <xdr:sp macro="" textlink="Cálculos!J25">
          <xdr:nvSpPr>
            <xdr:cNvPr id="5" name="Retângulo 4"/>
            <xdr:cNvSpPr/>
          </xdr:nvSpPr>
          <xdr:spPr>
            <a:xfrm>
              <a:off x="7620253" y="146509"/>
              <a:ext cx="8056222" cy="262712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61F5C67-D2C0-44DF-98E8-1F8A5E57FBE2}" type="TxLink">
                <a:rPr lang="en-US" sz="3600" b="1" i="0" u="none" strike="noStrike">
                  <a:solidFill>
                    <a:srgbClr val="FF0000"/>
                  </a:solidFill>
                  <a:latin typeface="Aptos Narrow"/>
                  <a:cs typeface="Arial" panose="020B0604020202020204" pitchFamily="34" charset="0"/>
                </a:rPr>
                <a:pPr algn="ctr"/>
                <a:t> R$ 8.940,00 </a:t>
              </a:fld>
              <a:endParaRPr lang="pt-BR" sz="23900" b="1">
                <a:solidFill>
                  <a:srgbClr val="FF0000"/>
                </a:solidFill>
                <a:latin typeface="+mj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6" name="CaixaDeTexto 5"/>
            <xdr:cNvSpPr txBox="1"/>
          </xdr:nvSpPr>
          <xdr:spPr>
            <a:xfrm>
              <a:off x="8453683" y="-1460771"/>
              <a:ext cx="6509232" cy="13763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 i="1"/>
                <a:t>Faturamento</a:t>
              </a:r>
              <a:r>
                <a:rPr lang="pt-BR" sz="1600" b="1" i="1" baseline="0"/>
                <a:t> Total Liquido</a:t>
              </a:r>
            </a:p>
          </xdr:txBody>
        </xdr:sp>
      </xdr:grpSp>
      <xdr:grpSp>
        <xdr:nvGrpSpPr>
          <xdr:cNvPr id="84" name="Agrupar 83"/>
          <xdr:cNvGrpSpPr/>
        </xdr:nvGrpSpPr>
        <xdr:grpSpPr>
          <a:xfrm>
            <a:off x="7831178" y="2720628"/>
            <a:ext cx="4660313" cy="833117"/>
            <a:chOff x="4056897" y="2543341"/>
            <a:chExt cx="2719326" cy="806991"/>
          </a:xfrm>
        </xdr:grpSpPr>
        <xdr:sp macro="" textlink="">
          <xdr:nvSpPr>
            <xdr:cNvPr id="29" name="Retângulo Arredondado 28"/>
            <xdr:cNvSpPr/>
          </xdr:nvSpPr>
          <xdr:spPr>
            <a:xfrm>
              <a:off x="4081710" y="2818735"/>
              <a:ext cx="2589101" cy="531597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00"/>
            </a:p>
          </xdr:txBody>
        </xdr:sp>
        <xdr:sp macro="" textlink="Cálculos!D36">
          <xdr:nvSpPr>
            <xdr:cNvPr id="30" name="Retângulo 29"/>
            <xdr:cNvSpPr/>
          </xdr:nvSpPr>
          <xdr:spPr>
            <a:xfrm>
              <a:off x="4640390" y="2930053"/>
              <a:ext cx="1449396" cy="35848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67831D7-56E8-474D-A492-9CF302BCC308}" type="TxLink">
                <a:rPr lang="en-US" sz="2000" b="1" i="0" u="none" strike="noStrike">
                  <a:solidFill>
                    <a:srgbClr val="FF0000"/>
                  </a:solidFill>
                  <a:latin typeface="Aptos Narrow"/>
                  <a:cs typeface="Arial" panose="020B0604020202020204" pitchFamily="34" charset="0"/>
                </a:rPr>
                <a:pPr algn="ctr"/>
                <a:t> R$ 2.410,00 </a:t>
              </a:fld>
              <a:endParaRPr lang="pt-BR" sz="11500" b="1">
                <a:solidFill>
                  <a:srgbClr val="FF0000"/>
                </a:solidFill>
                <a:latin typeface="+mj-lt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31" name="CaixaDeTexto 30"/>
            <xdr:cNvSpPr txBox="1"/>
          </xdr:nvSpPr>
          <xdr:spPr>
            <a:xfrm>
              <a:off x="4056897" y="2543341"/>
              <a:ext cx="2719326" cy="36297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400" b="1" baseline="0">
                  <a:solidFill>
                    <a:schemeClr val="bg1"/>
                  </a:solidFill>
                </a:rPr>
                <a:t>Valor Total de Cupons Concedidos</a:t>
              </a:r>
            </a:p>
          </xdr:txBody>
        </xdr:sp>
      </xdr:grpSp>
      <xdr:grpSp>
        <xdr:nvGrpSpPr>
          <xdr:cNvPr id="85" name="Agrupar 84"/>
          <xdr:cNvGrpSpPr/>
        </xdr:nvGrpSpPr>
        <xdr:grpSpPr>
          <a:xfrm>
            <a:off x="12515495" y="2721156"/>
            <a:ext cx="4490077" cy="814154"/>
            <a:chOff x="6837856" y="2505754"/>
            <a:chExt cx="2619993" cy="788623"/>
          </a:xfrm>
        </xdr:grpSpPr>
        <xdr:sp macro="" textlink="">
          <xdr:nvSpPr>
            <xdr:cNvPr id="43" name="CaixaDeTexto 42"/>
            <xdr:cNvSpPr txBox="1"/>
          </xdr:nvSpPr>
          <xdr:spPr>
            <a:xfrm>
              <a:off x="6837856" y="2505754"/>
              <a:ext cx="1076359" cy="35279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400" b="1">
                  <a:solidFill>
                    <a:schemeClr val="bg1"/>
                  </a:solidFill>
                </a:rPr>
                <a:t>Ticket Médio</a:t>
              </a:r>
            </a:p>
          </xdr:txBody>
        </xdr:sp>
        <xdr:sp macro="" textlink="">
          <xdr:nvSpPr>
            <xdr:cNvPr id="42" name="Retângulo Arredondado 41"/>
            <xdr:cNvSpPr/>
          </xdr:nvSpPr>
          <xdr:spPr>
            <a:xfrm>
              <a:off x="6874020" y="2759114"/>
              <a:ext cx="2583829" cy="535263"/>
            </a:xfrm>
            <a:prstGeom prst="roundRect">
              <a:avLst/>
            </a:prstGeom>
            <a:solidFill>
              <a:schemeClr val="bg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200"/>
            </a:p>
          </xdr:txBody>
        </xdr:sp>
        <xdr:sp macro="" textlink="Cálculos!J24">
          <xdr:nvSpPr>
            <xdr:cNvPr id="44" name="Retângulo 43"/>
            <xdr:cNvSpPr/>
          </xdr:nvSpPr>
          <xdr:spPr>
            <a:xfrm>
              <a:off x="7654921" y="2874846"/>
              <a:ext cx="949455" cy="33914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AD1CA7F-1599-4861-93DF-A3A47292FE58}" type="TxLink">
                <a:rPr lang="en-US" sz="2000" b="1" i="0" u="none" strike="noStrike">
                  <a:solidFill>
                    <a:srgbClr val="FF0000"/>
                  </a:solidFill>
                  <a:latin typeface="Aptos Narrow"/>
                </a:rPr>
                <a:pPr algn="ctr"/>
                <a:t> R$ 26,69 </a:t>
              </a:fld>
              <a:endParaRPr lang="pt-BR" sz="138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86" name="Agrupar 85"/>
          <xdr:cNvGrpSpPr/>
        </xdr:nvGrpSpPr>
        <xdr:grpSpPr>
          <a:xfrm>
            <a:off x="3092598" y="2739655"/>
            <a:ext cx="4483226" cy="793671"/>
            <a:chOff x="1320476" y="2542720"/>
            <a:chExt cx="2615994" cy="768781"/>
          </a:xfrm>
        </xdr:grpSpPr>
        <xdr:sp macro="" textlink="">
          <xdr:nvSpPr>
            <xdr:cNvPr id="60" name="CaixaDeTexto 59"/>
            <xdr:cNvSpPr txBox="1"/>
          </xdr:nvSpPr>
          <xdr:spPr>
            <a:xfrm>
              <a:off x="1320476" y="2542720"/>
              <a:ext cx="2608447" cy="28384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400" b="1">
                  <a:solidFill>
                    <a:schemeClr val="bg1"/>
                  </a:solidFill>
                </a:rPr>
                <a:t>Arrecadação Bruta</a:t>
              </a:r>
              <a:endParaRPr lang="pt-BR" sz="1400" b="1" baseline="0">
                <a:solidFill>
                  <a:schemeClr val="bg1"/>
                </a:solidFill>
              </a:endParaRPr>
            </a:p>
          </xdr:txBody>
        </xdr:sp>
        <xdr:grpSp>
          <xdr:nvGrpSpPr>
            <xdr:cNvPr id="63" name="Agrupar 62"/>
            <xdr:cNvGrpSpPr/>
          </xdr:nvGrpSpPr>
          <xdr:grpSpPr>
            <a:xfrm>
              <a:off x="1330516" y="2811309"/>
              <a:ext cx="2605954" cy="500192"/>
              <a:chOff x="-2146326" y="4446480"/>
              <a:chExt cx="8370039" cy="2542193"/>
            </a:xfrm>
          </xdr:grpSpPr>
          <xdr:sp macro="" textlink="">
            <xdr:nvSpPr>
              <xdr:cNvPr id="59" name="Retângulo Arredondado 58"/>
              <xdr:cNvSpPr/>
            </xdr:nvSpPr>
            <xdr:spPr>
              <a:xfrm>
                <a:off x="-2146326" y="4446480"/>
                <a:ext cx="8370039" cy="2542193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200" b="0"/>
              </a:p>
            </xdr:txBody>
          </xdr:sp>
          <xdr:sp macro="" textlink="Cálculos!D43">
            <xdr:nvSpPr>
              <xdr:cNvPr id="61" name="Retângulo 60"/>
              <xdr:cNvSpPr/>
            </xdr:nvSpPr>
            <xdr:spPr>
              <a:xfrm>
                <a:off x="-525575" y="4743278"/>
                <a:ext cx="5148577" cy="1710983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fld id="{8C033897-C5C5-4FEB-8993-860C1C42B1DB}" type="TxLink">
                  <a:rPr lang="en-US" sz="2000" b="1" i="0" u="none" strike="noStrike">
                    <a:solidFill>
                      <a:srgbClr val="FF0000"/>
                    </a:solidFill>
                    <a:latin typeface="Aptos Narrow"/>
                    <a:cs typeface="Arial" panose="020B0604020202020204" pitchFamily="34" charset="0"/>
                  </a:rPr>
                  <a:pPr algn="ctr"/>
                  <a:t> R$ 11.350,00 </a:t>
                </a:fld>
                <a:endParaRPr lang="en-US" sz="2000" b="1">
                  <a:solidFill>
                    <a:srgbClr val="FF0000"/>
                  </a:solidFill>
                  <a:cs typeface="Arial" panose="020B0604020202020204" pitchFamily="34" charset="0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467905</xdr:colOff>
      <xdr:row>2</xdr:row>
      <xdr:rowOff>231799</xdr:rowOff>
    </xdr:from>
    <xdr:to>
      <xdr:col>14</xdr:col>
      <xdr:colOff>123825</xdr:colOff>
      <xdr:row>4</xdr:row>
      <xdr:rowOff>32544</xdr:rowOff>
    </xdr:to>
    <xdr:sp macro="" textlink="">
      <xdr:nvSpPr>
        <xdr:cNvPr id="79" name="CaixaDeTexto 78"/>
        <xdr:cNvSpPr txBox="1"/>
      </xdr:nvSpPr>
      <xdr:spPr>
        <a:xfrm>
          <a:off x="8583999" y="1382737"/>
          <a:ext cx="2910295" cy="534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600" b="1">
              <a:solidFill>
                <a:schemeClr val="accent6">
                  <a:lumMod val="75000"/>
                </a:schemeClr>
              </a:solidFill>
            </a:rPr>
            <a:t>RECEITA</a:t>
          </a:r>
          <a:endParaRPr lang="pt-BR" sz="16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152401</xdr:colOff>
      <xdr:row>30</xdr:row>
      <xdr:rowOff>151562</xdr:rowOff>
    </xdr:from>
    <xdr:to>
      <xdr:col>0</xdr:col>
      <xdr:colOff>2124075</xdr:colOff>
      <xdr:row>51</xdr:row>
      <xdr:rowOff>144235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6" name="Start 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rt 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1" y="6800012"/>
              <a:ext cx="1971674" cy="37931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76200</xdr:colOff>
      <xdr:row>0</xdr:row>
      <xdr:rowOff>2419350</xdr:rowOff>
    </xdr:from>
    <xdr:to>
      <xdr:col>53</xdr:col>
      <xdr:colOff>114300</xdr:colOff>
      <xdr:row>0</xdr:row>
      <xdr:rowOff>2686050</xdr:rowOff>
    </xdr:to>
    <xdr:sp macro="" textlink="">
      <xdr:nvSpPr>
        <xdr:cNvPr id="16" name="Retângulo 15"/>
        <xdr:cNvSpPr/>
      </xdr:nvSpPr>
      <xdr:spPr>
        <a:xfrm>
          <a:off x="4124325" y="2419350"/>
          <a:ext cx="34147125" cy="266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140354</xdr:colOff>
      <xdr:row>5</xdr:row>
      <xdr:rowOff>2521</xdr:rowOff>
    </xdr:from>
    <xdr:to>
      <xdr:col>0</xdr:col>
      <xdr:colOff>2169179</xdr:colOff>
      <xdr:row>9</xdr:row>
      <xdr:rowOff>43142</xdr:rowOff>
    </xdr:to>
    <xdr:sp macro="" textlink="">
      <xdr:nvSpPr>
        <xdr:cNvPr id="119" name="CaixaDeTexto 118">
          <a:hlinkClick xmlns:r="http://schemas.openxmlformats.org/officeDocument/2006/relationships" r:id="rId5"/>
        </xdr:cNvPr>
        <xdr:cNvSpPr txBox="1"/>
      </xdr:nvSpPr>
      <xdr:spPr>
        <a:xfrm>
          <a:off x="140354" y="2117071"/>
          <a:ext cx="2028825" cy="7740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>
              <a:solidFill>
                <a:schemeClr val="bg1"/>
              </a:solidFill>
            </a:rPr>
            <a:t>RECEITA</a:t>
          </a:r>
        </a:p>
      </xdr:txBody>
    </xdr:sp>
    <xdr:clientData/>
  </xdr:twoCellAnchor>
  <xdr:twoCellAnchor>
    <xdr:from>
      <xdr:col>0</xdr:col>
      <xdr:colOff>117942</xdr:colOff>
      <xdr:row>9</xdr:row>
      <xdr:rowOff>20169</xdr:rowOff>
    </xdr:from>
    <xdr:to>
      <xdr:col>0</xdr:col>
      <xdr:colOff>2224087</xdr:colOff>
      <xdr:row>12</xdr:row>
      <xdr:rowOff>87405</xdr:rowOff>
    </xdr:to>
    <xdr:sp macro="" textlink="">
      <xdr:nvSpPr>
        <xdr:cNvPr id="120" name="CaixaDeTexto 119">
          <a:hlinkClick xmlns:r="http://schemas.openxmlformats.org/officeDocument/2006/relationships" r:id="rId6"/>
        </xdr:cNvPr>
        <xdr:cNvSpPr txBox="1"/>
      </xdr:nvSpPr>
      <xdr:spPr>
        <a:xfrm>
          <a:off x="117942" y="2868144"/>
          <a:ext cx="2106145" cy="6101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PLANOS E ASSINATURAS</a:t>
          </a:r>
        </a:p>
      </xdr:txBody>
    </xdr:sp>
    <xdr:clientData/>
  </xdr:twoCellAnchor>
  <xdr:twoCellAnchor>
    <xdr:from>
      <xdr:col>0</xdr:col>
      <xdr:colOff>130829</xdr:colOff>
      <xdr:row>13</xdr:row>
      <xdr:rowOff>69476</xdr:rowOff>
    </xdr:from>
    <xdr:to>
      <xdr:col>0</xdr:col>
      <xdr:colOff>2159654</xdr:colOff>
      <xdr:row>16</xdr:row>
      <xdr:rowOff>32497</xdr:rowOff>
    </xdr:to>
    <xdr:sp macro="" textlink="">
      <xdr:nvSpPr>
        <xdr:cNvPr id="121" name="CaixaDeTexto 120">
          <a:hlinkClick xmlns:r="http://schemas.openxmlformats.org/officeDocument/2006/relationships" r:id="rId7"/>
        </xdr:cNvPr>
        <xdr:cNvSpPr txBox="1"/>
      </xdr:nvSpPr>
      <xdr:spPr>
        <a:xfrm>
          <a:off x="130829" y="3641351"/>
          <a:ext cx="2028825" cy="5059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3200" b="1">
              <a:solidFill>
                <a:schemeClr val="bg1"/>
              </a:solidFill>
            </a:rPr>
            <a:t>PASSES</a:t>
          </a:r>
        </a:p>
      </xdr:txBody>
    </xdr:sp>
    <xdr:clientData/>
  </xdr:twoCellAnchor>
  <xdr:twoCellAnchor>
    <xdr:from>
      <xdr:col>15</xdr:col>
      <xdr:colOff>393999</xdr:colOff>
      <xdr:row>45</xdr:row>
      <xdr:rowOff>132724</xdr:rowOff>
    </xdr:from>
    <xdr:to>
      <xdr:col>31</xdr:col>
      <xdr:colOff>1306287</xdr:colOff>
      <xdr:row>86</xdr:row>
      <xdr:rowOff>105508</xdr:rowOff>
    </xdr:to>
    <xdr:grpSp>
      <xdr:nvGrpSpPr>
        <xdr:cNvPr id="22" name="Agrupar 21"/>
        <xdr:cNvGrpSpPr/>
      </xdr:nvGrpSpPr>
      <xdr:grpSpPr>
        <a:xfrm>
          <a:off x="18634374" y="9495799"/>
          <a:ext cx="16133238" cy="7392759"/>
          <a:chOff x="17775241" y="5138698"/>
          <a:chExt cx="16124501" cy="7323843"/>
        </a:xfrm>
      </xdr:grpSpPr>
      <xdr:sp macro="" textlink="">
        <xdr:nvSpPr>
          <xdr:cNvPr id="98" name="Retângulo Arredondado 97"/>
          <xdr:cNvSpPr/>
        </xdr:nvSpPr>
        <xdr:spPr>
          <a:xfrm>
            <a:off x="19180894" y="5138698"/>
            <a:ext cx="14718848" cy="7323843"/>
          </a:xfrm>
          <a:prstGeom prst="round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00"/>
          </a:p>
        </xdr:txBody>
      </xdr:sp>
      <xdr:graphicFrame macro="">
        <xdr:nvGraphicFramePr>
          <xdr:cNvPr id="40" name="Gráfico 39"/>
          <xdr:cNvGraphicFramePr>
            <a:graphicFrameLocks/>
          </xdr:cNvGraphicFramePr>
        </xdr:nvGraphicFramePr>
        <xdr:xfrm>
          <a:off x="17775241" y="6094319"/>
          <a:ext cx="11678411" cy="5945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5" name="CaixaDeTexto 34"/>
          <xdr:cNvSpPr txBox="1"/>
        </xdr:nvSpPr>
        <xdr:spPr>
          <a:xfrm>
            <a:off x="24114885" y="5376888"/>
            <a:ext cx="5525715" cy="6906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000" b="1" i="1">
                <a:solidFill>
                  <a:schemeClr val="accent6">
                    <a:lumMod val="75000"/>
                  </a:schemeClr>
                </a:solidFill>
              </a:rPr>
              <a:t>RESUMO ASSINATURAS</a:t>
            </a:r>
          </a:p>
        </xdr:txBody>
      </xdr:sp>
      <xdr:grpSp>
        <xdr:nvGrpSpPr>
          <xdr:cNvPr id="25" name="Agrupar 24"/>
          <xdr:cNvGrpSpPr/>
        </xdr:nvGrpSpPr>
        <xdr:grpSpPr>
          <a:xfrm>
            <a:off x="27585349" y="6765151"/>
            <a:ext cx="5643022" cy="5011111"/>
            <a:chOff x="28467172" y="5314950"/>
            <a:chExt cx="5644781" cy="5056943"/>
          </a:xfrm>
        </xdr:grpSpPr>
        <xdr:graphicFrame macro="">
          <xdr:nvGraphicFramePr>
            <xdr:cNvPr id="48" name="Gráfico 47"/>
            <xdr:cNvGraphicFramePr>
              <a:graphicFrameLocks/>
            </xdr:cNvGraphicFramePr>
          </xdr:nvGraphicFramePr>
          <xdr:xfrm>
            <a:off x="28467172" y="5314950"/>
            <a:ext cx="5394202" cy="316678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pSp>
          <xdr:nvGrpSpPr>
            <xdr:cNvPr id="118" name="Agrupar 117"/>
            <xdr:cNvGrpSpPr/>
          </xdr:nvGrpSpPr>
          <xdr:grpSpPr>
            <a:xfrm>
              <a:off x="28984577" y="7867559"/>
              <a:ext cx="5127376" cy="2504334"/>
              <a:chOff x="18324740" y="7759315"/>
              <a:chExt cx="4418714" cy="2449217"/>
            </a:xfrm>
          </xdr:grpSpPr>
          <xdr:sp macro="" textlink="">
            <xdr:nvSpPr>
              <xdr:cNvPr id="113" name="CaixaDeTexto 112"/>
              <xdr:cNvSpPr txBox="1"/>
            </xdr:nvSpPr>
            <xdr:spPr>
              <a:xfrm>
                <a:off x="18324740" y="8458200"/>
                <a:ext cx="2117272" cy="162403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pt-BR" sz="2000" b="1"/>
                  <a:t>CORE</a:t>
                </a:r>
              </a:p>
              <a:p>
                <a:endParaRPr lang="pt-BR" sz="2000" b="1"/>
              </a:p>
              <a:p>
                <a:r>
                  <a:rPr lang="pt-BR" sz="2000" b="1"/>
                  <a:t>STANDARD</a:t>
                </a:r>
              </a:p>
              <a:p>
                <a:endParaRPr lang="pt-BR" sz="2000" b="1"/>
              </a:p>
              <a:p>
                <a:r>
                  <a:rPr lang="pt-BR" sz="2000" b="1"/>
                  <a:t>ULTIMATE</a:t>
                </a:r>
              </a:p>
            </xdr:txBody>
          </xdr:sp>
          <xdr:graphicFrame macro="">
            <xdr:nvGraphicFramePr>
              <xdr:cNvPr id="117" name="Gráfico 116"/>
              <xdr:cNvGraphicFramePr>
                <a:graphicFrameLocks/>
              </xdr:cNvGraphicFramePr>
            </xdr:nvGraphicFramePr>
            <xdr:xfrm>
              <a:off x="19667586" y="7759315"/>
              <a:ext cx="3075868" cy="2449217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sp macro="" textlink="">
        <xdr:nvSpPr>
          <xdr:cNvPr id="155" name="CaixaDeTexto 154"/>
          <xdr:cNvSpPr txBox="1"/>
        </xdr:nvSpPr>
        <xdr:spPr>
          <a:xfrm>
            <a:off x="20185994" y="6210294"/>
            <a:ext cx="5851713" cy="3412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1" i="1"/>
              <a:t>VALOR</a:t>
            </a:r>
            <a:r>
              <a:rPr lang="pt-BR" sz="2000" b="1" i="1" baseline="0"/>
              <a:t> VENDIDO POR TIPO DE ASSINATURA</a:t>
            </a:r>
            <a:endParaRPr lang="pt-BR" sz="2000" b="1" i="1"/>
          </a:p>
        </xdr:txBody>
      </xdr:sp>
      <xdr:sp macro="" textlink="">
        <xdr:nvSpPr>
          <xdr:cNvPr id="157" name="CaixaDeTexto 156"/>
          <xdr:cNvSpPr txBox="1"/>
        </xdr:nvSpPr>
        <xdr:spPr>
          <a:xfrm>
            <a:off x="26933924" y="6195722"/>
            <a:ext cx="6488463" cy="4672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2000" b="1" i="1"/>
              <a:t>QUANTIDADE</a:t>
            </a:r>
            <a:r>
              <a:rPr lang="pt-BR" sz="2000" b="1" i="1" baseline="0"/>
              <a:t> VENDIDA POR TIPO DE ASSINATURA</a:t>
            </a:r>
            <a:endParaRPr lang="pt-BR" sz="2000" b="1" i="1"/>
          </a:p>
        </xdr:txBody>
      </xdr:sp>
    </xdr:grpSp>
    <xdr:clientData/>
  </xdr:twoCellAnchor>
  <xdr:twoCellAnchor>
    <xdr:from>
      <xdr:col>33</xdr:col>
      <xdr:colOff>499382</xdr:colOff>
      <xdr:row>6</xdr:row>
      <xdr:rowOff>40821</xdr:rowOff>
    </xdr:from>
    <xdr:to>
      <xdr:col>47</xdr:col>
      <xdr:colOff>598714</xdr:colOff>
      <xdr:row>57</xdr:row>
      <xdr:rowOff>145597</xdr:rowOff>
    </xdr:to>
    <xdr:grpSp>
      <xdr:nvGrpSpPr>
        <xdr:cNvPr id="72" name="Agrupar 71"/>
        <xdr:cNvGrpSpPr/>
      </xdr:nvGrpSpPr>
      <xdr:grpSpPr>
        <a:xfrm>
          <a:off x="37999307" y="2288721"/>
          <a:ext cx="14567807" cy="9391651"/>
          <a:chOff x="37987061" y="2340429"/>
          <a:chExt cx="14495689" cy="9194347"/>
        </a:xfrm>
      </xdr:grpSpPr>
      <xdr:sp macro="" textlink="">
        <xdr:nvSpPr>
          <xdr:cNvPr id="37" name="Retângulo Arredondado 36"/>
          <xdr:cNvSpPr/>
        </xdr:nvSpPr>
        <xdr:spPr>
          <a:xfrm>
            <a:off x="37987061" y="2340429"/>
            <a:ext cx="14495689" cy="9194347"/>
          </a:xfrm>
          <a:prstGeom prst="roundRect">
            <a:avLst>
              <a:gd name="adj" fmla="val 5067"/>
            </a:avLst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200"/>
          </a:p>
        </xdr:txBody>
      </xdr:sp>
      <xdr:sp macro="" textlink="">
        <xdr:nvSpPr>
          <xdr:cNvPr id="159" name="Retângulo Arredondado 158"/>
          <xdr:cNvSpPr/>
        </xdr:nvSpPr>
        <xdr:spPr>
          <a:xfrm>
            <a:off x="38195248" y="2748644"/>
            <a:ext cx="14083395" cy="2071994"/>
          </a:xfrm>
          <a:prstGeom prst="roundRect">
            <a:avLst>
              <a:gd name="adj" fmla="val 9416"/>
            </a:avLst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4" name="Agrupar 23"/>
          <xdr:cNvGrpSpPr/>
        </xdr:nvGrpSpPr>
        <xdr:grpSpPr>
          <a:xfrm>
            <a:off x="38296589" y="3537662"/>
            <a:ext cx="13865270" cy="888878"/>
            <a:chOff x="40338977" y="2236469"/>
            <a:chExt cx="19002132" cy="857089"/>
          </a:xfrm>
        </xdr:grpSpPr>
        <xdr:grpSp>
          <xdr:nvGrpSpPr>
            <xdr:cNvPr id="38" name="Agrupar 37"/>
            <xdr:cNvGrpSpPr/>
          </xdr:nvGrpSpPr>
          <xdr:grpSpPr>
            <a:xfrm>
              <a:off x="49952837" y="2247440"/>
              <a:ext cx="9388272" cy="846118"/>
              <a:chOff x="57705744" y="5568188"/>
              <a:chExt cx="22655868" cy="3279472"/>
            </a:xfrm>
          </xdr:grpSpPr>
          <xdr:sp macro="" textlink="">
            <xdr:nvSpPr>
              <xdr:cNvPr id="13" name="Retângulo Arredondado 12"/>
              <xdr:cNvSpPr/>
            </xdr:nvSpPr>
            <xdr:spPr>
              <a:xfrm>
                <a:off x="57705744" y="5568188"/>
                <a:ext cx="22655868" cy="3279472"/>
              </a:xfrm>
              <a:prstGeom prst="roundRect">
                <a:avLst/>
              </a:prstGeom>
              <a:solidFill>
                <a:schemeClr val="bg1"/>
              </a:solidFill>
              <a:ln>
                <a:solidFill>
                  <a:srgbClr val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200"/>
              </a:p>
            </xdr:txBody>
          </xdr:sp>
          <xdr:sp macro="" textlink="Cálculos!N49">
            <xdr:nvSpPr>
              <xdr:cNvPr id="15" name="Retângulo 14"/>
              <xdr:cNvSpPr/>
            </xdr:nvSpPr>
            <xdr:spPr>
              <a:xfrm>
                <a:off x="69003556" y="6411005"/>
                <a:ext cx="8677238" cy="1702413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3E34EE4-2290-4F33-BDC6-C31CFF63B888}" type="TxLink">
                  <a:rPr lang="en-US" sz="2000" b="1" i="0" u="none" strike="noStrike">
                    <a:solidFill>
                      <a:srgbClr val="FF0000"/>
                    </a:solidFill>
                    <a:latin typeface="Aptos Narrow"/>
                  </a:rPr>
                  <a:pPr algn="ctr"/>
                  <a:t> R$ 3.880,00 </a:t>
                </a:fld>
                <a:endParaRPr lang="pt-BR" sz="31200" b="1">
                  <a:solidFill>
                    <a:srgbClr val="FF0000"/>
                  </a:solidFill>
                </a:endParaRPr>
              </a:p>
            </xdr:txBody>
          </xdr:sp>
          <xdr:pic>
            <xdr:nvPicPr>
              <xdr:cNvPr id="18" name="Gráfico 13">
                <a:extLst>
                  <a:ext uri="{FF2B5EF4-FFF2-40B4-BE49-F238E27FC236}">
                    <a16:creationId xmlns:a16="http://schemas.microsoft.com/office/drawing/2014/main" id="{A1F40A76-E1BB-A23E-B668-9F79247AB09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1">
                <a:extLst>
                  <a:ext uri="{96DAC541-7B7A-43D3-8B79-37D633B846F1}">
                    <asvg:svgBlip xmlns:asvg="http://schemas.microsoft.com/office/drawing/2016/SVG/main" xmlns="" r:embed="rId12"/>
                  </a:ext>
                </a:extLst>
              </a:blip>
              <a:stretch>
                <a:fillRect/>
              </a:stretch>
            </xdr:blipFill>
            <xdr:spPr>
              <a:xfrm>
                <a:off x="58330126" y="6431054"/>
                <a:ext cx="8762944" cy="1510228"/>
              </a:xfrm>
              <a:prstGeom prst="rect">
                <a:avLst/>
              </a:prstGeom>
            </xdr:spPr>
          </xdr:pic>
        </xdr:grpSp>
        <xdr:grpSp>
          <xdr:nvGrpSpPr>
            <xdr:cNvPr id="49" name="Agrupar 48"/>
            <xdr:cNvGrpSpPr/>
          </xdr:nvGrpSpPr>
          <xdr:grpSpPr>
            <a:xfrm>
              <a:off x="40338977" y="2236469"/>
              <a:ext cx="9368672" cy="847198"/>
              <a:chOff x="34130680" y="4141985"/>
              <a:chExt cx="22827725" cy="3165308"/>
            </a:xfrm>
          </xdr:grpSpPr>
          <xdr:sp macro="" textlink="">
            <xdr:nvSpPr>
              <xdr:cNvPr id="8" name="Retângulo Arredondado 7"/>
              <xdr:cNvSpPr/>
            </xdr:nvSpPr>
            <xdr:spPr>
              <a:xfrm>
                <a:off x="34130680" y="4141985"/>
                <a:ext cx="22827725" cy="3165308"/>
              </a:xfrm>
              <a:prstGeom prst="roundRect">
                <a:avLst/>
              </a:prstGeom>
              <a:solidFill>
                <a:schemeClr val="bg1"/>
              </a:solidFill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200"/>
              </a:p>
            </xdr:txBody>
          </xdr:sp>
          <xdr:sp macro="" textlink="Cálculos!N41">
            <xdr:nvSpPr>
              <xdr:cNvPr id="14" name="Retângulo 13"/>
              <xdr:cNvSpPr/>
            </xdr:nvSpPr>
            <xdr:spPr>
              <a:xfrm>
                <a:off x="42283180" y="4887957"/>
                <a:ext cx="9323318" cy="1661879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8FD5FFF-5C21-483C-9385-DE4C515A8038}" type="TxLink">
                  <a:rPr lang="en-US" sz="2000" b="1" i="0" u="none" strike="noStrike">
                    <a:solidFill>
                      <a:srgbClr val="FF0000"/>
                    </a:solidFill>
                    <a:latin typeface="Aptos Narrow"/>
                  </a:rPr>
                  <a:pPr algn="ctr"/>
                  <a:t> R$ 4.140,00 </a:t>
                </a:fld>
                <a:endParaRPr lang="pt-BR" sz="31200" b="1">
                  <a:solidFill>
                    <a:srgbClr val="FF0000"/>
                  </a:solidFill>
                </a:endParaRPr>
              </a:p>
            </xdr:txBody>
          </xdr:sp>
          <xdr:pic>
            <xdr:nvPicPr>
              <xdr:cNvPr id="19" name="Imagem 18">
                <a:extLst>
                  <a:ext uri="{FF2B5EF4-FFF2-40B4-BE49-F238E27FC236}">
                    <a16:creationId xmlns:a16="http://schemas.microsoft.com/office/drawing/2014/main" id="{34E653DD-5BBB-B7D9-BDBD-2F59393458E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t="30002" r="62496" b="32611"/>
              <a:stretch/>
            </xdr:blipFill>
            <xdr:spPr>
              <a:xfrm>
                <a:off x="36648908" y="4194150"/>
                <a:ext cx="3184043" cy="2971030"/>
              </a:xfrm>
              <a:prstGeom prst="rect">
                <a:avLst/>
              </a:prstGeom>
            </xdr:spPr>
          </xdr:pic>
        </xdr:grpSp>
      </xdr:grpSp>
      <xdr:sp macro="" textlink="">
        <xdr:nvSpPr>
          <xdr:cNvPr id="56" name="CaixaDeTexto 55"/>
          <xdr:cNvSpPr txBox="1"/>
        </xdr:nvSpPr>
        <xdr:spPr>
          <a:xfrm>
            <a:off x="42436121" y="5642507"/>
            <a:ext cx="5803689" cy="42677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 i="1">
                <a:solidFill>
                  <a:schemeClr val="accent6">
                    <a:lumMod val="75000"/>
                  </a:schemeClr>
                </a:solidFill>
              </a:rPr>
              <a:t>QUANTIDADE</a:t>
            </a:r>
            <a:r>
              <a:rPr lang="pt-BR" sz="3200" b="1" baseline="0">
                <a:solidFill>
                  <a:schemeClr val="accent6">
                    <a:lumMod val="75000"/>
                  </a:schemeClr>
                </a:solidFill>
              </a:rPr>
              <a:t> VENDIDA</a:t>
            </a:r>
            <a:endParaRPr lang="pt-BR" sz="3200" b="1">
              <a:solidFill>
                <a:schemeClr val="accent6">
                  <a:lumMod val="75000"/>
                </a:schemeClr>
              </a:solidFill>
            </a:endParaRPr>
          </a:p>
        </xdr:txBody>
      </xdr:sp>
      <xdr:grpSp>
        <xdr:nvGrpSpPr>
          <xdr:cNvPr id="12" name="Agrupar 11"/>
          <xdr:cNvGrpSpPr/>
        </xdr:nvGrpSpPr>
        <xdr:grpSpPr>
          <a:xfrm>
            <a:off x="38715043" y="5442860"/>
            <a:ext cx="12645118" cy="5871480"/>
            <a:chOff x="38909625" y="5388325"/>
            <a:chExt cx="12706350" cy="6651275"/>
          </a:xfrm>
        </xdr:grpSpPr>
        <xdr:graphicFrame macro="">
          <xdr:nvGraphicFramePr>
            <xdr:cNvPr id="108" name="Gráfico 107"/>
            <xdr:cNvGraphicFramePr>
              <a:graphicFrameLocks/>
            </xdr:cNvGraphicFramePr>
          </xdr:nvGraphicFramePr>
          <xdr:xfrm>
            <a:off x="38909625" y="5388325"/>
            <a:ext cx="12706350" cy="66512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6615672" y="9467252"/>
              <a:ext cx="1284193" cy="1482486"/>
            </a:xfrm>
            <a:prstGeom prst="rect">
              <a:avLst/>
            </a:prstGeom>
            <a:noFill/>
          </xdr:spPr>
        </xdr:pic>
        <xdr:pic>
          <xdr:nvPicPr>
            <xdr:cNvPr id="57" name="Imagem 56">
              <a:extLst>
                <a:ext uri="{FF2B5EF4-FFF2-40B4-BE49-F238E27FC236}">
                  <a16:creationId xmlns:a16="http://schemas.microsoft.com/office/drawing/2014/main" id="{34E653DD-5BBB-B7D9-BDBD-2F59393458E2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33013" r="61382" b="35474"/>
            <a:stretch/>
          </xdr:blipFill>
          <xdr:spPr>
            <a:xfrm>
              <a:off x="42609627" y="9125643"/>
              <a:ext cx="1948323" cy="1606874"/>
            </a:xfrm>
            <a:prstGeom prst="rect">
              <a:avLst/>
            </a:prstGeom>
            <a:noFill/>
          </xdr:spPr>
        </xdr:pic>
        <xdr:grpSp>
          <xdr:nvGrpSpPr>
            <xdr:cNvPr id="27" name="Agrupar 26"/>
            <xdr:cNvGrpSpPr/>
          </xdr:nvGrpSpPr>
          <xdr:grpSpPr>
            <a:xfrm>
              <a:off x="41719505" y="10226203"/>
              <a:ext cx="7705720" cy="1723899"/>
              <a:chOff x="42607847" y="8302713"/>
              <a:chExt cx="7674563" cy="1684476"/>
            </a:xfrm>
          </xdr:grpSpPr>
          <xdr:pic>
            <xdr:nvPicPr>
              <xdr:cNvPr id="96" name="Gráfico 13">
                <a:extLst>
                  <a:ext uri="{FF2B5EF4-FFF2-40B4-BE49-F238E27FC236}">
                    <a16:creationId xmlns:a16="http://schemas.microsoft.com/office/drawing/2014/main" id="{A1F40A76-E1BB-A23E-B668-9F79247AB09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1">
                <a:extLst>
                  <a:ext uri="{96DAC541-7B7A-43D3-8B79-37D633B846F1}">
                    <asvg:svgBlip xmlns:asvg="http://schemas.microsoft.com/office/drawing/2016/SVG/main" xmlns="" r:embed="rId12"/>
                  </a:ext>
                </a:extLst>
              </a:blip>
              <a:stretch>
                <a:fillRect/>
              </a:stretch>
            </xdr:blipFill>
            <xdr:spPr>
              <a:xfrm>
                <a:off x="45865176" y="8995008"/>
                <a:ext cx="4417234" cy="561901"/>
              </a:xfrm>
              <a:prstGeom prst="rect">
                <a:avLst/>
              </a:prstGeom>
            </xdr:spPr>
          </xdr:pic>
          <xdr:pic>
            <xdr:nvPicPr>
              <xdr:cNvPr id="97" name="Imagem 96">
                <a:extLst>
                  <a:ext uri="{FF2B5EF4-FFF2-40B4-BE49-F238E27FC236}">
                    <a16:creationId xmlns:a16="http://schemas.microsoft.com/office/drawing/2014/main" id="{34E653DD-5BBB-B7D9-BDBD-2F59393458E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34301" t="35198" r="1177" b="33289"/>
              <a:stretch/>
            </xdr:blipFill>
            <xdr:spPr>
              <a:xfrm>
                <a:off x="42607847" y="8302713"/>
                <a:ext cx="3510004" cy="1684476"/>
              </a:xfrm>
              <a:prstGeom prst="rect">
                <a:avLst/>
              </a:prstGeom>
              <a:noFill/>
            </xdr:spPr>
          </xdr:pic>
        </xdr:grpSp>
        <xdr:grpSp>
          <xdr:nvGrpSpPr>
            <xdr:cNvPr id="11" name="Agrupar 10"/>
            <xdr:cNvGrpSpPr/>
          </xdr:nvGrpSpPr>
          <xdr:grpSpPr>
            <a:xfrm>
              <a:off x="40233663" y="8467164"/>
              <a:ext cx="10133186" cy="1115095"/>
              <a:chOff x="40625051" y="7819586"/>
              <a:chExt cx="8010246" cy="554781"/>
            </a:xfrm>
          </xdr:grpSpPr>
          <xdr:sp macro="" textlink="Cálculos!N24">
            <xdr:nvSpPr>
              <xdr:cNvPr id="10" name="Retângulo 9"/>
              <xdr:cNvSpPr/>
            </xdr:nvSpPr>
            <xdr:spPr>
              <a:xfrm>
                <a:off x="40625051" y="7819586"/>
                <a:ext cx="1321457" cy="5506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B1D26949-6F3E-4C9B-9225-4292421DF6A9}" type="TxLink">
                  <a:rPr lang="en-US" sz="6000" b="1" i="0" u="none" strike="noStrike">
                    <a:solidFill>
                      <a:srgbClr val="FF0000"/>
                    </a:solidFill>
                    <a:latin typeface="Aptos Narrow"/>
                  </a:rPr>
                  <a:pPr algn="l"/>
                  <a:t>138</a:t>
                </a:fld>
                <a:endParaRPr lang="pt-BR" sz="6000" b="1">
                  <a:solidFill>
                    <a:srgbClr val="FF0000"/>
                  </a:solidFill>
                </a:endParaRPr>
              </a:p>
            </xdr:txBody>
          </xdr:sp>
          <xdr:sp macro="" textlink="Cálculos!N31">
            <xdr:nvSpPr>
              <xdr:cNvPr id="23" name="Retângulo 22"/>
              <xdr:cNvSpPr/>
            </xdr:nvSpPr>
            <xdr:spPr>
              <a:xfrm>
                <a:off x="47395242" y="7836243"/>
                <a:ext cx="1240055" cy="538124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079AB8CC-345A-490E-A7B4-7CBF803AD4E7}" type="TxLink">
                  <a:rPr lang="en-US" sz="6000" b="1" i="0" u="none" strike="noStrike">
                    <a:solidFill>
                      <a:srgbClr val="FF0000"/>
                    </a:solidFill>
                    <a:latin typeface="Aptos Narrow"/>
                  </a:rPr>
                  <a:pPr algn="l"/>
                  <a:t>194</a:t>
                </a:fld>
                <a:endParaRPr lang="pt-BR" sz="49600" b="1">
                  <a:solidFill>
                    <a:srgbClr val="FF0000"/>
                  </a:solidFill>
                </a:endParaRPr>
              </a:p>
            </xdr:txBody>
          </xdr:sp>
        </xdr:grpSp>
      </xdr:grpSp>
      <xdr:sp macro="" textlink="">
        <xdr:nvSpPr>
          <xdr:cNvPr id="158" name="CaixaDeTexto 157"/>
          <xdr:cNvSpPr txBox="1"/>
        </xdr:nvSpPr>
        <xdr:spPr>
          <a:xfrm>
            <a:off x="38904615" y="2867882"/>
            <a:ext cx="12739935" cy="5277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600" b="1" i="1">
                <a:solidFill>
                  <a:schemeClr val="bg1"/>
                </a:solidFill>
              </a:rPr>
              <a:t>VALOR</a:t>
            </a:r>
            <a:r>
              <a:rPr lang="pt-BR" sz="3600" b="1" i="1" baseline="0">
                <a:solidFill>
                  <a:schemeClr val="bg1"/>
                </a:solidFill>
              </a:rPr>
              <a:t> VENDIDO POR PASSE</a:t>
            </a:r>
          </a:p>
          <a:p>
            <a:endParaRPr lang="pt-BR" sz="1100"/>
          </a:p>
        </xdr:txBody>
      </xdr:sp>
    </xdr:grpSp>
    <xdr:clientData/>
  </xdr:twoCellAnchor>
  <xdr:twoCellAnchor>
    <xdr:from>
      <xdr:col>20</xdr:col>
      <xdr:colOff>99219</xdr:colOff>
      <xdr:row>4</xdr:row>
      <xdr:rowOff>12246</xdr:rowOff>
    </xdr:from>
    <xdr:to>
      <xdr:col>26</xdr:col>
      <xdr:colOff>1408906</xdr:colOff>
      <xdr:row>4</xdr:row>
      <xdr:rowOff>99219</xdr:rowOff>
    </xdr:to>
    <xdr:sp macro="" textlink="">
      <xdr:nvSpPr>
        <xdr:cNvPr id="9" name="Retângulo 8"/>
        <xdr:cNvSpPr/>
      </xdr:nvSpPr>
      <xdr:spPr>
        <a:xfrm>
          <a:off x="24725313" y="1897402"/>
          <a:ext cx="6191249" cy="8697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37</xdr:col>
      <xdr:colOff>1551214</xdr:colOff>
      <xdr:row>4</xdr:row>
      <xdr:rowOff>13606</xdr:rowOff>
    </xdr:from>
    <xdr:to>
      <xdr:col>41</xdr:col>
      <xdr:colOff>2491467</xdr:colOff>
      <xdr:row>4</xdr:row>
      <xdr:rowOff>102053</xdr:rowOff>
    </xdr:to>
    <xdr:sp macro="" textlink="">
      <xdr:nvSpPr>
        <xdr:cNvPr id="100" name="Retângulo 99"/>
        <xdr:cNvSpPr/>
      </xdr:nvSpPr>
      <xdr:spPr>
        <a:xfrm>
          <a:off x="41937214" y="1891392"/>
          <a:ext cx="4845503" cy="88447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449036</xdr:colOff>
      <xdr:row>4</xdr:row>
      <xdr:rowOff>0</xdr:rowOff>
    </xdr:from>
    <xdr:to>
      <xdr:col>14</xdr:col>
      <xdr:colOff>1389289</xdr:colOff>
      <xdr:row>4</xdr:row>
      <xdr:rowOff>88447</xdr:rowOff>
    </xdr:to>
    <xdr:sp macro="" textlink="">
      <xdr:nvSpPr>
        <xdr:cNvPr id="101" name="Retângulo 100"/>
        <xdr:cNvSpPr/>
      </xdr:nvSpPr>
      <xdr:spPr>
        <a:xfrm>
          <a:off x="7102929" y="1877786"/>
          <a:ext cx="4845503" cy="88447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152120</xdr:colOff>
      <xdr:row>21</xdr:row>
      <xdr:rowOff>21334</xdr:rowOff>
    </xdr:from>
    <xdr:to>
      <xdr:col>0</xdr:col>
      <xdr:colOff>2128558</xdr:colOff>
      <xdr:row>28</xdr:row>
      <xdr:rowOff>54830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8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20" y="5041009"/>
              <a:ext cx="1976438" cy="1300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161924</xdr:colOff>
      <xdr:row>28</xdr:row>
      <xdr:rowOff>123825</xdr:rowOff>
    </xdr:from>
    <xdr:to>
      <xdr:col>0</xdr:col>
      <xdr:colOff>2114550</xdr:colOff>
      <xdr:row>30</xdr:row>
      <xdr:rowOff>28575</xdr:rowOff>
    </xdr:to>
    <xdr:sp macro="" textlink="">
      <xdr:nvSpPr>
        <xdr:cNvPr id="26" name="CaixaDeTexto 25"/>
        <xdr:cNvSpPr txBox="1"/>
      </xdr:nvSpPr>
      <xdr:spPr>
        <a:xfrm>
          <a:off x="161924" y="6410325"/>
          <a:ext cx="1952626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FILTRO HISTÓRICO</a:t>
          </a:r>
        </a:p>
      </xdr:txBody>
    </xdr:sp>
    <xdr:clientData/>
  </xdr:twoCellAnchor>
  <xdr:twoCellAnchor>
    <xdr:from>
      <xdr:col>0</xdr:col>
      <xdr:colOff>333375</xdr:colOff>
      <xdr:row>18</xdr:row>
      <xdr:rowOff>171450</xdr:rowOff>
    </xdr:from>
    <xdr:to>
      <xdr:col>0</xdr:col>
      <xdr:colOff>1962150</xdr:colOff>
      <xdr:row>20</xdr:row>
      <xdr:rowOff>76200</xdr:rowOff>
    </xdr:to>
    <xdr:sp macro="" textlink="">
      <xdr:nvSpPr>
        <xdr:cNvPr id="28" name="CaixaDeTexto 27"/>
        <xdr:cNvSpPr txBox="1"/>
      </xdr:nvSpPr>
      <xdr:spPr>
        <a:xfrm>
          <a:off x="333375" y="4648200"/>
          <a:ext cx="16287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FILTRO PLANOS</a:t>
          </a:r>
        </a:p>
      </xdr:txBody>
    </xdr:sp>
    <xdr:clientData/>
  </xdr:twoCellAnchor>
  <xdr:twoCellAnchor>
    <xdr:from>
      <xdr:col>16</xdr:col>
      <xdr:colOff>535747</xdr:colOff>
      <xdr:row>18</xdr:row>
      <xdr:rowOff>171947</xdr:rowOff>
    </xdr:from>
    <xdr:to>
      <xdr:col>31</xdr:col>
      <xdr:colOff>1296388</xdr:colOff>
      <xdr:row>43</xdr:row>
      <xdr:rowOff>92725</xdr:rowOff>
    </xdr:to>
    <xdr:grpSp>
      <xdr:nvGrpSpPr>
        <xdr:cNvPr id="69" name="Agrupar 68"/>
        <xdr:cNvGrpSpPr/>
      </xdr:nvGrpSpPr>
      <xdr:grpSpPr>
        <a:xfrm>
          <a:off x="20071522" y="4648697"/>
          <a:ext cx="14686191" cy="4445153"/>
          <a:chOff x="19706851" y="2419891"/>
          <a:chExt cx="14639927" cy="4338895"/>
        </a:xfrm>
      </xdr:grpSpPr>
      <xdr:sp macro="" textlink="">
        <xdr:nvSpPr>
          <xdr:cNvPr id="41" name="Retângulo Arredondado 40"/>
          <xdr:cNvSpPr/>
        </xdr:nvSpPr>
        <xdr:spPr>
          <a:xfrm>
            <a:off x="19706851" y="2419891"/>
            <a:ext cx="14639927" cy="4318676"/>
          </a:xfrm>
          <a:prstGeom prst="roundRect">
            <a:avLst>
              <a:gd name="adj" fmla="val 7195"/>
            </a:avLst>
          </a:prstGeom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600"/>
          </a:p>
        </xdr:txBody>
      </xdr:sp>
      <xdr:graphicFrame macro="">
        <xdr:nvGraphicFramePr>
          <xdr:cNvPr id="106" name="Gráfico 105"/>
          <xdr:cNvGraphicFramePr>
            <a:graphicFrameLocks/>
          </xdr:cNvGraphicFramePr>
        </xdr:nvGraphicFramePr>
        <xdr:xfrm>
          <a:off x="24122809" y="2659381"/>
          <a:ext cx="8529520" cy="36884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pSp>
        <xdr:nvGrpSpPr>
          <xdr:cNvPr id="67" name="Agrupar 66"/>
          <xdr:cNvGrpSpPr/>
        </xdr:nvGrpSpPr>
        <xdr:grpSpPr>
          <a:xfrm>
            <a:off x="20791935" y="3156097"/>
            <a:ext cx="4089791" cy="3602689"/>
            <a:chOff x="19992305" y="3303315"/>
            <a:chExt cx="4084984" cy="3653116"/>
          </a:xfrm>
        </xdr:grpSpPr>
        <xdr:sp macro="" textlink="">
          <xdr:nvSpPr>
            <xdr:cNvPr id="32" name="CaixaDeTexto 31"/>
            <xdr:cNvSpPr txBox="1"/>
          </xdr:nvSpPr>
          <xdr:spPr>
            <a:xfrm>
              <a:off x="20121611" y="3303315"/>
              <a:ext cx="3955678" cy="365311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scene3d>
                <a:camera prst="perspectiveRelaxedModerately"/>
                <a:lightRig rig="threePt" dir="t"/>
              </a:scene3d>
            </a:bodyPr>
            <a:lstStyle/>
            <a:p>
              <a:r>
                <a:rPr lang="en-US" sz="2800" b="1" i="1">
                  <a:ln w="19050">
                    <a:solidFill>
                      <a:srgbClr val="FFFF00"/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effectLst>
                    <a:outerShdw blurRad="60007" dist="200025" dir="15000000" sx="106000" sy="106000" kx="-1800000" algn="bl" rotWithShape="0">
                      <a:prstClr val="black">
                        <a:alpha val="32000"/>
                      </a:prstClr>
                    </a:outerShdw>
                  </a:effectLst>
                </a:rPr>
                <a:t>ANUAL</a:t>
              </a:r>
            </a:p>
            <a:p>
              <a:endParaRPr lang="en-US" sz="2400">
                <a:effectLst>
                  <a:outerShdw blurRad="60007" dist="310007" dir="7680000" sx="112000" sy="112000" kx="1300200" algn="ctr" rotWithShape="0">
                    <a:prstClr val="black">
                      <a:alpha val="32000"/>
                    </a:prstClr>
                  </a:outerShdw>
                </a:effectLst>
              </a:endParaRPr>
            </a:p>
            <a:p>
              <a:endParaRPr lang="en-US" sz="2400">
                <a:effectLst>
                  <a:outerShdw blurRad="60007" dist="310007" dir="7680000" sx="112000" sy="112000" kx="1300200" algn="ctr" rotWithShape="0">
                    <a:prstClr val="black">
                      <a:alpha val="32000"/>
                    </a:prstClr>
                  </a:outerShdw>
                </a:effectLst>
              </a:endParaRPr>
            </a:p>
            <a:p>
              <a:r>
                <a:rPr lang="en-US" sz="2800" b="1" i="1">
                  <a:ln w="19050">
                    <a:solidFill>
                      <a:schemeClr val="tx1"/>
                    </a:solidFill>
                  </a:ln>
                  <a:solidFill>
                    <a:schemeClr val="accent5"/>
                  </a:solidFill>
                  <a:effectLst>
                    <a:outerShdw blurRad="60007" dist="200025" dir="15000000" sx="105000" sy="105000" kx="-1800000" algn="bl" rotWithShape="0">
                      <a:prstClr val="black">
                        <a:alpha val="32000"/>
                      </a:prstClr>
                    </a:outerShdw>
                  </a:effectLst>
                </a:rPr>
                <a:t>MENSAL</a:t>
              </a:r>
            </a:p>
            <a:p>
              <a:endParaRPr lang="en-US" sz="2400">
                <a:effectLst>
                  <a:outerShdw blurRad="60007" dist="200025" dir="15000000" sx="105000" sy="105000" kx="-1800000" algn="bl" rotWithShape="0">
                    <a:prstClr val="black">
                      <a:alpha val="32000"/>
                    </a:prstClr>
                  </a:outerShdw>
                </a:effectLst>
              </a:endParaRPr>
            </a:p>
            <a:p>
              <a:endParaRPr lang="en-US" sz="2400">
                <a:effectLst>
                  <a:outerShdw blurRad="60007" dist="200025" dir="15000000" sx="105000" sy="105000" kx="-1800000" algn="bl" rotWithShape="0">
                    <a:prstClr val="black">
                      <a:alpha val="32000"/>
                    </a:prstClr>
                  </a:outerShdw>
                </a:effectLst>
              </a:endParaRPr>
            </a:p>
            <a:p>
              <a:r>
                <a:rPr lang="en-US" sz="2800" b="1" i="1">
                  <a:ln w="19050">
                    <a:solidFill>
                      <a:schemeClr val="accent1">
                        <a:lumMod val="75000"/>
                      </a:schemeClr>
                    </a:solidFill>
                  </a:ln>
                  <a:solidFill>
                    <a:srgbClr val="FFC000"/>
                  </a:solidFill>
                  <a:effectLst>
                    <a:outerShdw blurRad="60007" dist="200025" dir="15000000" sx="105000" sy="105000" kx="-1800000" algn="bl" rotWithShape="0">
                      <a:prstClr val="black">
                        <a:alpha val="32000"/>
                      </a:prstClr>
                    </a:outerShdw>
                  </a:effectLst>
                </a:rPr>
                <a:t>QUARTENÁRIO</a:t>
              </a:r>
            </a:p>
          </xdr:txBody>
        </xdr:sp>
        <xdr:grpSp>
          <xdr:nvGrpSpPr>
            <xdr:cNvPr id="64" name="Agrupar 63"/>
            <xdr:cNvGrpSpPr/>
          </xdr:nvGrpSpPr>
          <xdr:grpSpPr>
            <a:xfrm>
              <a:off x="19992305" y="3919635"/>
              <a:ext cx="3088533" cy="2471338"/>
              <a:chOff x="20597422" y="3796370"/>
              <a:chExt cx="3088533" cy="2471338"/>
            </a:xfrm>
          </xdr:grpSpPr>
          <xdr:sp macro="" textlink="Cálculos!E61">
            <xdr:nvSpPr>
              <xdr:cNvPr id="47" name="Retângulo 46"/>
              <xdr:cNvSpPr/>
            </xdr:nvSpPr>
            <xdr:spPr>
              <a:xfrm>
                <a:off x="20693983" y="3796370"/>
                <a:ext cx="2991972" cy="70597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FBE3FA35-0AE0-4DFF-A715-0C3C46DB910B}" type="TxLink">
                  <a:rPr lang="en-US" sz="3000" b="1" i="1" u="none" strike="noStrike">
                    <a:solidFill>
                      <a:schemeClr val="bg1"/>
                    </a:solidFill>
                    <a:latin typeface="Aptos Narrow"/>
                  </a:rPr>
                  <a:pPr algn="l"/>
                  <a:t> R$ 790,00 </a:t>
                </a:fld>
                <a:endParaRPr lang="pt-BR" sz="3000" b="1" i="1" u="none">
                  <a:solidFill>
                    <a:schemeClr val="bg1"/>
                  </a:solidFill>
                </a:endParaRPr>
              </a:p>
            </xdr:txBody>
          </xdr:sp>
          <xdr:sp macro="" textlink="Cálculos!E62">
            <xdr:nvSpPr>
              <xdr:cNvPr id="109" name="Retângulo 108"/>
              <xdr:cNvSpPr/>
            </xdr:nvSpPr>
            <xdr:spPr>
              <a:xfrm>
                <a:off x="20603490" y="4648679"/>
                <a:ext cx="2991973" cy="70597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7D8089F3-5D24-42F3-B347-27F440C0FF50}" type="TxLink">
                  <a:rPr lang="en-US" sz="3000" b="1" i="1" u="none" strike="noStrike">
                    <a:solidFill>
                      <a:srgbClr val="FFFFFF"/>
                    </a:solidFill>
                    <a:latin typeface="Aptos Narrow"/>
                  </a:rPr>
                  <a:pPr algn="l"/>
                  <a:t> R$ 1.555,00 </a:t>
                </a:fld>
                <a:endParaRPr lang="pt-BR" sz="3000" b="1" i="1" u="none">
                  <a:solidFill>
                    <a:schemeClr val="bg1"/>
                  </a:solidFill>
                </a:endParaRPr>
              </a:p>
            </xdr:txBody>
          </xdr:sp>
          <xdr:sp macro="" textlink="Cálculos!E63">
            <xdr:nvSpPr>
              <xdr:cNvPr id="110" name="Retângulo 109"/>
              <xdr:cNvSpPr/>
            </xdr:nvSpPr>
            <xdr:spPr>
              <a:xfrm>
                <a:off x="20597422" y="5561737"/>
                <a:ext cx="2991973" cy="70597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fld id="{92ED6604-5C5A-4310-97D2-4D7E78AE39AA}" type="TxLink">
                  <a:rPr lang="en-US" sz="3000" b="1" i="1" u="none" strike="noStrike">
                    <a:solidFill>
                      <a:srgbClr val="FFFFFF"/>
                    </a:solidFill>
                    <a:latin typeface="Aptos Narrow"/>
                  </a:rPr>
                  <a:pPr algn="l"/>
                  <a:t> R$ 985,00 </a:t>
                </a:fld>
                <a:endParaRPr lang="pt-BR" sz="3000" b="1" i="1" u="none">
                  <a:solidFill>
                    <a:schemeClr val="bg1"/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23</xdr:col>
      <xdr:colOff>171450</xdr:colOff>
      <xdr:row>14</xdr:row>
      <xdr:rowOff>166078</xdr:rowOff>
    </xdr:from>
    <xdr:to>
      <xdr:col>28</xdr:col>
      <xdr:colOff>748393</xdr:colOff>
      <xdr:row>17</xdr:row>
      <xdr:rowOff>31463</xdr:rowOff>
    </xdr:to>
    <xdr:sp macro="" textlink="">
      <xdr:nvSpPr>
        <xdr:cNvPr id="114" name="Retângulo Arredondado 113"/>
        <xdr:cNvSpPr/>
      </xdr:nvSpPr>
      <xdr:spPr>
        <a:xfrm>
          <a:off x="26822400" y="3918928"/>
          <a:ext cx="4386943" cy="40831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600"/>
        </a:p>
      </xdr:txBody>
    </xdr:sp>
    <xdr:clientData/>
  </xdr:twoCellAnchor>
  <xdr:twoCellAnchor>
    <xdr:from>
      <xdr:col>23</xdr:col>
      <xdr:colOff>154906</xdr:colOff>
      <xdr:row>13</xdr:row>
      <xdr:rowOff>40822</xdr:rowOff>
    </xdr:from>
    <xdr:to>
      <xdr:col>26</xdr:col>
      <xdr:colOff>1239777</xdr:colOff>
      <xdr:row>15</xdr:row>
      <xdr:rowOff>81643</xdr:rowOff>
    </xdr:to>
    <xdr:sp macro="" textlink="">
      <xdr:nvSpPr>
        <xdr:cNvPr id="115" name="CaixaDeTexto 114"/>
        <xdr:cNvSpPr txBox="1"/>
      </xdr:nvSpPr>
      <xdr:spPr>
        <a:xfrm>
          <a:off x="26805856" y="3612697"/>
          <a:ext cx="3142271" cy="402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accent1">
                  <a:lumMod val="75000"/>
                </a:schemeClr>
              </a:solidFill>
            </a:rPr>
            <a:t>Assinatura mais vendida</a:t>
          </a:r>
          <a:endParaRPr lang="pt-BR" sz="1600" b="1" baseline="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25</xdr:col>
      <xdr:colOff>78775</xdr:colOff>
      <xdr:row>14</xdr:row>
      <xdr:rowOff>163620</xdr:rowOff>
    </xdr:from>
    <xdr:to>
      <xdr:col>27</xdr:col>
      <xdr:colOff>6787</xdr:colOff>
      <xdr:row>17</xdr:row>
      <xdr:rowOff>27214</xdr:rowOff>
    </xdr:to>
    <xdr:sp macro="" textlink="Cálculos!O73">
      <xdr:nvSpPr>
        <xdr:cNvPr id="116" name="Retângulo 115"/>
        <xdr:cNvSpPr/>
      </xdr:nvSpPr>
      <xdr:spPr>
        <a:xfrm>
          <a:off x="28014239" y="3905584"/>
          <a:ext cx="2023512" cy="39427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63B4F6A-76C9-460D-A128-2AA7712D8204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Core</a:t>
          </a:fld>
          <a:endParaRPr lang="en-US" sz="41300" b="1" i="0" u="none" strike="noStrike">
            <a:solidFill>
              <a:schemeClr val="tx1"/>
            </a:solidFill>
            <a:latin typeface="Aptos Narrow"/>
          </a:endParaRPr>
        </a:p>
      </xdr:txBody>
    </xdr:sp>
    <xdr:clientData/>
  </xdr:twoCellAnchor>
  <xdr:twoCellAnchor>
    <xdr:from>
      <xdr:col>19</xdr:col>
      <xdr:colOff>1729856</xdr:colOff>
      <xdr:row>10</xdr:row>
      <xdr:rowOff>87440</xdr:rowOff>
    </xdr:from>
    <xdr:to>
      <xdr:col>25</xdr:col>
      <xdr:colOff>476249</xdr:colOff>
      <xdr:row>12</xdr:row>
      <xdr:rowOff>142040</xdr:rowOff>
    </xdr:to>
    <xdr:sp macro="" textlink="">
      <xdr:nvSpPr>
        <xdr:cNvPr id="122" name="Retângulo Arredondado 121"/>
        <xdr:cNvSpPr/>
      </xdr:nvSpPr>
      <xdr:spPr>
        <a:xfrm>
          <a:off x="22562392" y="3121833"/>
          <a:ext cx="5849321" cy="40838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600"/>
        </a:p>
      </xdr:txBody>
    </xdr:sp>
    <xdr:clientData/>
  </xdr:twoCellAnchor>
  <xdr:twoCellAnchor>
    <xdr:from>
      <xdr:col>19</xdr:col>
      <xdr:colOff>1660072</xdr:colOff>
      <xdr:row>8</xdr:row>
      <xdr:rowOff>95250</xdr:rowOff>
    </xdr:from>
    <xdr:to>
      <xdr:col>21</xdr:col>
      <xdr:colOff>121830</xdr:colOff>
      <xdr:row>10</xdr:row>
      <xdr:rowOff>149679</xdr:rowOff>
    </xdr:to>
    <xdr:sp macro="" textlink="">
      <xdr:nvSpPr>
        <xdr:cNvPr id="123" name="CaixaDeTexto 122"/>
        <xdr:cNvSpPr txBox="1"/>
      </xdr:nvSpPr>
      <xdr:spPr>
        <a:xfrm>
          <a:off x="22492608" y="2775857"/>
          <a:ext cx="2843258" cy="408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accent1">
                  <a:lumMod val="75000"/>
                </a:schemeClr>
              </a:solidFill>
              <a:latin typeface="+mj-lt"/>
            </a:rPr>
            <a:t>Tipo</a:t>
          </a:r>
          <a:r>
            <a:rPr lang="pt-BR" sz="1600" b="1" baseline="0">
              <a:solidFill>
                <a:schemeClr val="accent1">
                  <a:lumMod val="75000"/>
                </a:schemeClr>
              </a:solidFill>
              <a:latin typeface="+mj-lt"/>
            </a:rPr>
            <a:t> de Plano</a:t>
          </a:r>
          <a:endParaRPr lang="pt-BR" sz="1600" b="1">
            <a:solidFill>
              <a:schemeClr val="accent1">
                <a:lumMod val="75000"/>
              </a:schemeClr>
            </a:solidFill>
            <a:latin typeface="+mj-lt"/>
          </a:endParaRPr>
        </a:p>
      </xdr:txBody>
    </xdr:sp>
    <xdr:clientData/>
  </xdr:twoCellAnchor>
  <xdr:twoCellAnchor>
    <xdr:from>
      <xdr:col>20</xdr:col>
      <xdr:colOff>721241</xdr:colOff>
      <xdr:row>10</xdr:row>
      <xdr:rowOff>113412</xdr:rowOff>
    </xdr:from>
    <xdr:to>
      <xdr:col>22</xdr:col>
      <xdr:colOff>491563</xdr:colOff>
      <xdr:row>12</xdr:row>
      <xdr:rowOff>61441</xdr:rowOff>
    </xdr:to>
    <xdr:sp macro="" textlink="Cálculos!D41">
      <xdr:nvSpPr>
        <xdr:cNvPr id="124" name="Retângulo 123"/>
        <xdr:cNvSpPr/>
      </xdr:nvSpPr>
      <xdr:spPr>
        <a:xfrm>
          <a:off x="24520134" y="3147805"/>
          <a:ext cx="1865822" cy="301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97F088C-4814-4F56-9B97-7AEC51B8F3B5}" type="TxLink">
            <a:rPr lang="en-US" sz="1600" b="1" i="0" u="none" strike="noStrike">
              <a:solidFill>
                <a:srgbClr val="FF0000"/>
              </a:solidFill>
              <a:latin typeface="+mj-lt"/>
            </a:rPr>
            <a:pPr algn="ctr"/>
            <a:t>(Tudo)</a:t>
          </a:fld>
          <a:endParaRPr lang="pt-BR" sz="19900" b="1">
            <a:solidFill>
              <a:srgbClr val="FF0000"/>
            </a:solidFill>
            <a:latin typeface="+mj-lt"/>
          </a:endParaRPr>
        </a:p>
      </xdr:txBody>
    </xdr:sp>
    <xdr:clientData/>
  </xdr:twoCellAnchor>
  <xdr:twoCellAnchor>
    <xdr:from>
      <xdr:col>19</xdr:col>
      <xdr:colOff>1495425</xdr:colOff>
      <xdr:row>19</xdr:row>
      <xdr:rowOff>161925</xdr:rowOff>
    </xdr:from>
    <xdr:to>
      <xdr:col>29</xdr:col>
      <xdr:colOff>171450</xdr:colOff>
      <xdr:row>22</xdr:row>
      <xdr:rowOff>114300</xdr:rowOff>
    </xdr:to>
    <xdr:sp macro="" textlink="">
      <xdr:nvSpPr>
        <xdr:cNvPr id="70" name="CaixaDeTexto 69"/>
        <xdr:cNvSpPr txBox="1"/>
      </xdr:nvSpPr>
      <xdr:spPr>
        <a:xfrm>
          <a:off x="22402800" y="4819650"/>
          <a:ext cx="91725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 i="1">
              <a:solidFill>
                <a:schemeClr val="bg1"/>
              </a:solidFill>
            </a:rPr>
            <a:t>GRÁFICO HISTÓRICO VALOR E QUANTIDADE VENDIDA POR PLANO</a:t>
          </a:r>
        </a:p>
      </xdr:txBody>
    </xdr:sp>
    <xdr:clientData/>
  </xdr:twoCellAnchor>
  <xdr:twoCellAnchor>
    <xdr:from>
      <xdr:col>0</xdr:col>
      <xdr:colOff>219075</xdr:colOff>
      <xdr:row>20</xdr:row>
      <xdr:rowOff>47625</xdr:rowOff>
    </xdr:from>
    <xdr:to>
      <xdr:col>0</xdr:col>
      <xdr:colOff>2047875</xdr:colOff>
      <xdr:row>20</xdr:row>
      <xdr:rowOff>104775</xdr:rowOff>
    </xdr:to>
    <xdr:sp macro="" textlink="">
      <xdr:nvSpPr>
        <xdr:cNvPr id="4" name="Retângulo 3"/>
        <xdr:cNvSpPr/>
      </xdr:nvSpPr>
      <xdr:spPr>
        <a:xfrm>
          <a:off x="219075" y="4886325"/>
          <a:ext cx="1828800" cy="57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228600</xdr:colOff>
      <xdr:row>30</xdr:row>
      <xdr:rowOff>9525</xdr:rowOff>
    </xdr:from>
    <xdr:to>
      <xdr:col>0</xdr:col>
      <xdr:colOff>2057400</xdr:colOff>
      <xdr:row>30</xdr:row>
      <xdr:rowOff>55244</xdr:rowOff>
    </xdr:to>
    <xdr:sp macro="" textlink="">
      <xdr:nvSpPr>
        <xdr:cNvPr id="111" name="Retângulo 110"/>
        <xdr:cNvSpPr/>
      </xdr:nvSpPr>
      <xdr:spPr>
        <a:xfrm>
          <a:off x="228600" y="6657975"/>
          <a:ext cx="1828800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352425</xdr:colOff>
      <xdr:row>3</xdr:row>
      <xdr:rowOff>190500</xdr:rowOff>
    </xdr:from>
    <xdr:to>
      <xdr:col>0</xdr:col>
      <xdr:colOff>1981200</xdr:colOff>
      <xdr:row>4</xdr:row>
      <xdr:rowOff>228600</xdr:rowOff>
    </xdr:to>
    <xdr:sp macro="" textlink="">
      <xdr:nvSpPr>
        <xdr:cNvPr id="112" name="CaixaDeTexto 111"/>
        <xdr:cNvSpPr txBox="1"/>
      </xdr:nvSpPr>
      <xdr:spPr>
        <a:xfrm>
          <a:off x="352425" y="1838325"/>
          <a:ext cx="162877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MENU</a:t>
          </a:r>
        </a:p>
      </xdr:txBody>
    </xdr:sp>
    <xdr:clientData/>
  </xdr:twoCellAnchor>
  <xdr:twoCellAnchor>
    <xdr:from>
      <xdr:col>0</xdr:col>
      <xdr:colOff>238125</xdr:colOff>
      <xdr:row>4</xdr:row>
      <xdr:rowOff>200025</xdr:rowOff>
    </xdr:from>
    <xdr:to>
      <xdr:col>0</xdr:col>
      <xdr:colOff>2066925</xdr:colOff>
      <xdr:row>5</xdr:row>
      <xdr:rowOff>19050</xdr:rowOff>
    </xdr:to>
    <xdr:sp macro="" textlink="">
      <xdr:nvSpPr>
        <xdr:cNvPr id="125" name="Retângulo 124"/>
        <xdr:cNvSpPr/>
      </xdr:nvSpPr>
      <xdr:spPr>
        <a:xfrm>
          <a:off x="238125" y="2076450"/>
          <a:ext cx="1828800" cy="57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rllys Rodrigues" refreshedDate="46015.594988657409" createdVersion="6" refreshedVersion="6" minRefreshableVersion="3" recordCount="335">
  <cacheSource type="worksheet">
    <worksheetSource name="tbl_data"/>
  </cacheSource>
  <cacheFields count="13"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Start Month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Pass Chosed" numFmtId="0">
      <sharedItems count="5">
        <s v="Both"/>
        <s v="Neither"/>
        <s v="EA Pass"/>
        <s v="Minecraft Pass"/>
        <s v="-" u="1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">
  <r>
    <x v="0"/>
    <d v="2024-01-01T00:00:00"/>
    <x v="0"/>
    <s v="Yes"/>
    <x v="0"/>
    <x v="0"/>
    <x v="0"/>
    <n v="30"/>
    <x v="0"/>
    <n v="20"/>
    <x v="0"/>
    <n v="5"/>
    <n v="60"/>
  </r>
  <r>
    <x v="1"/>
    <d v="2024-01-15T00:00:00"/>
    <x v="0"/>
    <s v="No"/>
    <x v="1"/>
    <x v="1"/>
    <x v="1"/>
    <s v="-"/>
    <x v="1"/>
    <n v="0"/>
    <x v="1"/>
    <n v="0"/>
    <n v="5"/>
  </r>
  <r>
    <x v="1"/>
    <d v="2024-01-17T00:00:00"/>
    <x v="0"/>
    <s v="No"/>
    <x v="1"/>
    <x v="0"/>
    <x v="0"/>
    <n v="30"/>
    <x v="1"/>
    <n v="0"/>
    <x v="2"/>
    <n v="1"/>
    <n v="34"/>
  </r>
  <r>
    <x v="2"/>
    <d v="2024-01-22T00:00:00"/>
    <x v="0"/>
    <s v="Yes"/>
    <x v="2"/>
    <x v="1"/>
    <x v="0"/>
    <n v="30"/>
    <x v="1"/>
    <n v="0"/>
    <x v="2"/>
    <n v="15"/>
    <n v="25"/>
  </r>
  <r>
    <x v="0"/>
    <d v="2024-02-03T00:00:00"/>
    <x v="1"/>
    <s v="No"/>
    <x v="0"/>
    <x v="2"/>
    <x v="0"/>
    <n v="30"/>
    <x v="1"/>
    <n v="0"/>
    <x v="2"/>
    <n v="20"/>
    <n v="25"/>
  </r>
  <r>
    <x v="2"/>
    <d v="2024-02-10T00:00:00"/>
    <x v="1"/>
    <s v="Yes"/>
    <x v="2"/>
    <x v="2"/>
    <x v="1"/>
    <s v="-"/>
    <x v="0"/>
    <n v="20"/>
    <x v="3"/>
    <n v="10"/>
    <n v="20"/>
  </r>
  <r>
    <x v="0"/>
    <d v="2024-02-20T00:00:00"/>
    <x v="1"/>
    <s v="No"/>
    <x v="0"/>
    <x v="0"/>
    <x v="0"/>
    <n v="30"/>
    <x v="0"/>
    <n v="20"/>
    <x v="0"/>
    <n v="3"/>
    <n v="62"/>
  </r>
  <r>
    <x v="2"/>
    <d v="2024-03-02T00:00:00"/>
    <x v="2"/>
    <s v="No"/>
    <x v="2"/>
    <x v="0"/>
    <x v="1"/>
    <s v="-"/>
    <x v="0"/>
    <n v="20"/>
    <x v="3"/>
    <n v="2"/>
    <n v="28"/>
  </r>
  <r>
    <x v="0"/>
    <d v="2024-03-03T00:00:00"/>
    <x v="2"/>
    <s v="Yes"/>
    <x v="0"/>
    <x v="2"/>
    <x v="0"/>
    <n v="30"/>
    <x v="0"/>
    <n v="20"/>
    <x v="0"/>
    <n v="10"/>
    <n v="55"/>
  </r>
  <r>
    <x v="1"/>
    <d v="2024-03-04T00:00:00"/>
    <x v="2"/>
    <s v="Yes"/>
    <x v="1"/>
    <x v="1"/>
    <x v="1"/>
    <s v="-"/>
    <x v="1"/>
    <n v="0"/>
    <x v="1"/>
    <n v="0"/>
    <n v="5"/>
  </r>
  <r>
    <x v="1"/>
    <d v="2024-03-05T00:00:00"/>
    <x v="2"/>
    <s v="Yes"/>
    <x v="1"/>
    <x v="0"/>
    <x v="1"/>
    <s v="-"/>
    <x v="1"/>
    <n v="0"/>
    <x v="1"/>
    <n v="1"/>
    <n v="4"/>
  </r>
  <r>
    <x v="0"/>
    <d v="2024-03-05T00:00:00"/>
    <x v="2"/>
    <s v="No"/>
    <x v="0"/>
    <x v="0"/>
    <x v="0"/>
    <n v="30"/>
    <x v="0"/>
    <n v="20"/>
    <x v="0"/>
    <n v="5"/>
    <n v="60"/>
  </r>
  <r>
    <x v="2"/>
    <d v="2024-03-06T00:00:00"/>
    <x v="2"/>
    <s v="Yes"/>
    <x v="2"/>
    <x v="2"/>
    <x v="1"/>
    <s v="-"/>
    <x v="0"/>
    <n v="20"/>
    <x v="3"/>
    <n v="15"/>
    <n v="15"/>
  </r>
  <r>
    <x v="1"/>
    <d v="2024-03-07T00:00:00"/>
    <x v="2"/>
    <s v="No"/>
    <x v="1"/>
    <x v="0"/>
    <x v="1"/>
    <s v="-"/>
    <x v="1"/>
    <n v="0"/>
    <x v="1"/>
    <n v="1"/>
    <n v="4"/>
  </r>
  <r>
    <x v="0"/>
    <d v="2024-03-08T00:00:00"/>
    <x v="2"/>
    <s v="Yes"/>
    <x v="0"/>
    <x v="1"/>
    <x v="0"/>
    <n v="30"/>
    <x v="0"/>
    <n v="20"/>
    <x v="0"/>
    <n v="20"/>
    <n v="45"/>
  </r>
  <r>
    <x v="2"/>
    <d v="2024-03-09T00:00:00"/>
    <x v="2"/>
    <s v="No"/>
    <x v="2"/>
    <x v="0"/>
    <x v="1"/>
    <s v="-"/>
    <x v="0"/>
    <n v="20"/>
    <x v="3"/>
    <n v="10"/>
    <n v="20"/>
  </r>
  <r>
    <x v="0"/>
    <d v="2024-03-09T00:00:00"/>
    <x v="2"/>
    <s v="Yes"/>
    <x v="0"/>
    <x v="1"/>
    <x v="0"/>
    <n v="30"/>
    <x v="1"/>
    <n v="0"/>
    <x v="2"/>
    <n v="5"/>
    <n v="40"/>
  </r>
  <r>
    <x v="1"/>
    <d v="2024-03-10T00:00:00"/>
    <x v="2"/>
    <s v="Yes"/>
    <x v="1"/>
    <x v="2"/>
    <x v="1"/>
    <s v="-"/>
    <x v="1"/>
    <n v="0"/>
    <x v="1"/>
    <n v="0"/>
    <n v="5"/>
  </r>
  <r>
    <x v="0"/>
    <d v="2024-03-11T00:00:00"/>
    <x v="2"/>
    <s v="No"/>
    <x v="0"/>
    <x v="0"/>
    <x v="0"/>
    <n v="30"/>
    <x v="0"/>
    <n v="20"/>
    <x v="0"/>
    <n v="8"/>
    <n v="57"/>
  </r>
  <r>
    <x v="0"/>
    <d v="2024-03-11T00:00:00"/>
    <x v="2"/>
    <s v="No"/>
    <x v="0"/>
    <x v="2"/>
    <x v="0"/>
    <n v="30"/>
    <x v="1"/>
    <n v="0"/>
    <x v="2"/>
    <n v="7"/>
    <n v="38"/>
  </r>
  <r>
    <x v="2"/>
    <d v="2024-03-12T00:00:00"/>
    <x v="2"/>
    <s v="Yes"/>
    <x v="2"/>
    <x v="1"/>
    <x v="1"/>
    <s v="-"/>
    <x v="0"/>
    <n v="20"/>
    <x v="3"/>
    <n v="12"/>
    <n v="18"/>
  </r>
  <r>
    <x v="1"/>
    <d v="2024-03-13T00:00:00"/>
    <x v="2"/>
    <s v="No"/>
    <x v="1"/>
    <x v="0"/>
    <x v="1"/>
    <s v="-"/>
    <x v="1"/>
    <n v="0"/>
    <x v="1"/>
    <n v="2"/>
    <n v="3"/>
  </r>
  <r>
    <x v="0"/>
    <d v="2024-03-14T00:00:00"/>
    <x v="2"/>
    <s v="Yes"/>
    <x v="0"/>
    <x v="2"/>
    <x v="0"/>
    <n v="30"/>
    <x v="0"/>
    <n v="20"/>
    <x v="0"/>
    <n v="7"/>
    <n v="58"/>
  </r>
  <r>
    <x v="2"/>
    <d v="2024-03-15T00:00:00"/>
    <x v="2"/>
    <s v="No"/>
    <x v="2"/>
    <x v="0"/>
    <x v="1"/>
    <s v="-"/>
    <x v="0"/>
    <n v="20"/>
    <x v="3"/>
    <n v="5"/>
    <n v="25"/>
  </r>
  <r>
    <x v="1"/>
    <d v="2024-03-16T00:00:00"/>
    <x v="2"/>
    <s v="Yes"/>
    <x v="1"/>
    <x v="1"/>
    <x v="1"/>
    <s v="-"/>
    <x v="1"/>
    <n v="0"/>
    <x v="1"/>
    <n v="0"/>
    <n v="5"/>
  </r>
  <r>
    <x v="0"/>
    <d v="2024-03-17T00:00:00"/>
    <x v="2"/>
    <s v="No"/>
    <x v="0"/>
    <x v="0"/>
    <x v="0"/>
    <n v="30"/>
    <x v="0"/>
    <n v="20"/>
    <x v="0"/>
    <n v="3"/>
    <n v="62"/>
  </r>
  <r>
    <x v="2"/>
    <d v="2024-03-18T00:00:00"/>
    <x v="2"/>
    <s v="Yes"/>
    <x v="2"/>
    <x v="2"/>
    <x v="1"/>
    <s v="-"/>
    <x v="0"/>
    <n v="20"/>
    <x v="3"/>
    <n v="15"/>
    <n v="15"/>
  </r>
  <r>
    <x v="1"/>
    <d v="2024-03-19T00:00:00"/>
    <x v="2"/>
    <s v="No"/>
    <x v="1"/>
    <x v="0"/>
    <x v="1"/>
    <s v="-"/>
    <x v="1"/>
    <n v="0"/>
    <x v="1"/>
    <n v="1"/>
    <n v="4"/>
  </r>
  <r>
    <x v="0"/>
    <d v="2024-03-20T00:00:00"/>
    <x v="2"/>
    <s v="Yes"/>
    <x v="0"/>
    <x v="1"/>
    <x v="0"/>
    <n v="30"/>
    <x v="0"/>
    <n v="20"/>
    <x v="0"/>
    <n v="20"/>
    <n v="45"/>
  </r>
  <r>
    <x v="2"/>
    <d v="2024-03-21T00:00:00"/>
    <x v="2"/>
    <s v="No"/>
    <x v="2"/>
    <x v="0"/>
    <x v="1"/>
    <s v="-"/>
    <x v="0"/>
    <n v="20"/>
    <x v="3"/>
    <n v="10"/>
    <n v="20"/>
  </r>
  <r>
    <x v="1"/>
    <d v="2024-03-22T00:00:00"/>
    <x v="2"/>
    <s v="Yes"/>
    <x v="1"/>
    <x v="2"/>
    <x v="1"/>
    <s v="-"/>
    <x v="1"/>
    <n v="0"/>
    <x v="1"/>
    <n v="0"/>
    <n v="5"/>
  </r>
  <r>
    <x v="0"/>
    <d v="2024-03-23T00:00:00"/>
    <x v="2"/>
    <s v="No"/>
    <x v="0"/>
    <x v="0"/>
    <x v="0"/>
    <n v="30"/>
    <x v="0"/>
    <n v="20"/>
    <x v="0"/>
    <n v="5"/>
    <n v="60"/>
  </r>
  <r>
    <x v="2"/>
    <d v="2024-03-24T00:00:00"/>
    <x v="2"/>
    <s v="Yes"/>
    <x v="2"/>
    <x v="1"/>
    <x v="1"/>
    <s v="-"/>
    <x v="0"/>
    <n v="20"/>
    <x v="3"/>
    <n v="15"/>
    <n v="15"/>
  </r>
  <r>
    <x v="1"/>
    <d v="2024-03-24T00:00:00"/>
    <x v="2"/>
    <s v="Yes"/>
    <x v="1"/>
    <x v="1"/>
    <x v="0"/>
    <n v="30"/>
    <x v="1"/>
    <n v="0"/>
    <x v="2"/>
    <n v="0"/>
    <n v="35"/>
  </r>
  <r>
    <x v="1"/>
    <d v="2024-03-25T00:00:00"/>
    <x v="2"/>
    <s v="No"/>
    <x v="1"/>
    <x v="0"/>
    <x v="1"/>
    <s v="-"/>
    <x v="1"/>
    <n v="0"/>
    <x v="1"/>
    <n v="1"/>
    <n v="4"/>
  </r>
  <r>
    <x v="0"/>
    <d v="2024-03-26T00:00:00"/>
    <x v="2"/>
    <s v="Yes"/>
    <x v="0"/>
    <x v="2"/>
    <x v="0"/>
    <n v="30"/>
    <x v="0"/>
    <n v="20"/>
    <x v="0"/>
    <n v="7"/>
    <n v="58"/>
  </r>
  <r>
    <x v="2"/>
    <d v="2024-03-27T00:00:00"/>
    <x v="2"/>
    <s v="No"/>
    <x v="2"/>
    <x v="0"/>
    <x v="1"/>
    <s v="-"/>
    <x v="0"/>
    <n v="20"/>
    <x v="3"/>
    <n v="10"/>
    <n v="20"/>
  </r>
  <r>
    <x v="1"/>
    <d v="2024-03-28T00:00:00"/>
    <x v="2"/>
    <s v="Yes"/>
    <x v="1"/>
    <x v="1"/>
    <x v="1"/>
    <s v="-"/>
    <x v="1"/>
    <n v="0"/>
    <x v="1"/>
    <n v="0"/>
    <n v="5"/>
  </r>
  <r>
    <x v="0"/>
    <d v="2024-03-29T00:00:00"/>
    <x v="2"/>
    <s v="No"/>
    <x v="0"/>
    <x v="0"/>
    <x v="0"/>
    <n v="30"/>
    <x v="0"/>
    <n v="20"/>
    <x v="0"/>
    <n v="3"/>
    <n v="62"/>
  </r>
  <r>
    <x v="2"/>
    <d v="2024-03-30T00:00:00"/>
    <x v="2"/>
    <s v="Yes"/>
    <x v="2"/>
    <x v="2"/>
    <x v="1"/>
    <s v="-"/>
    <x v="0"/>
    <n v="20"/>
    <x v="3"/>
    <n v="15"/>
    <n v="15"/>
  </r>
  <r>
    <x v="1"/>
    <d v="2024-03-31T00:00:00"/>
    <x v="2"/>
    <s v="No"/>
    <x v="1"/>
    <x v="0"/>
    <x v="1"/>
    <s v="-"/>
    <x v="1"/>
    <n v="0"/>
    <x v="1"/>
    <n v="1"/>
    <n v="4"/>
  </r>
  <r>
    <x v="1"/>
    <d v="2024-04-01T00:00:00"/>
    <x v="3"/>
    <s v="Yes"/>
    <x v="1"/>
    <x v="0"/>
    <x v="1"/>
    <s v="-"/>
    <x v="1"/>
    <n v="0"/>
    <x v="1"/>
    <n v="0"/>
    <n v="5"/>
  </r>
  <r>
    <x v="0"/>
    <d v="2024-04-02T00:00:00"/>
    <x v="3"/>
    <s v="No"/>
    <x v="0"/>
    <x v="2"/>
    <x v="0"/>
    <n v="30"/>
    <x v="0"/>
    <n v="20"/>
    <x v="0"/>
    <n v="7"/>
    <n v="58"/>
  </r>
  <r>
    <x v="1"/>
    <d v="2024-04-02T00:00:00"/>
    <x v="3"/>
    <s v="Yes"/>
    <x v="1"/>
    <x v="2"/>
    <x v="0"/>
    <n v="30"/>
    <x v="1"/>
    <n v="0"/>
    <x v="2"/>
    <n v="0"/>
    <n v="35"/>
  </r>
  <r>
    <x v="2"/>
    <d v="2024-04-03T00:00:00"/>
    <x v="3"/>
    <s v="Yes"/>
    <x v="2"/>
    <x v="1"/>
    <x v="1"/>
    <s v="-"/>
    <x v="0"/>
    <n v="20"/>
    <x v="3"/>
    <n v="10"/>
    <n v="20"/>
  </r>
  <r>
    <x v="1"/>
    <d v="2024-04-04T00:00:00"/>
    <x v="3"/>
    <s v="No"/>
    <x v="1"/>
    <x v="2"/>
    <x v="1"/>
    <s v="-"/>
    <x v="1"/>
    <n v="0"/>
    <x v="1"/>
    <n v="1"/>
    <n v="4"/>
  </r>
  <r>
    <x v="0"/>
    <d v="2024-04-05T00:00:00"/>
    <x v="3"/>
    <s v="Yes"/>
    <x v="0"/>
    <x v="0"/>
    <x v="0"/>
    <n v="30"/>
    <x v="0"/>
    <n v="20"/>
    <x v="0"/>
    <n v="15"/>
    <n v="50"/>
  </r>
  <r>
    <x v="2"/>
    <d v="2024-04-06T00:00:00"/>
    <x v="3"/>
    <s v="No"/>
    <x v="2"/>
    <x v="0"/>
    <x v="1"/>
    <s v="-"/>
    <x v="0"/>
    <n v="20"/>
    <x v="3"/>
    <n v="5"/>
    <n v="25"/>
  </r>
  <r>
    <x v="1"/>
    <d v="2024-04-07T00:00:00"/>
    <x v="3"/>
    <s v="Yes"/>
    <x v="1"/>
    <x v="1"/>
    <x v="1"/>
    <s v="-"/>
    <x v="1"/>
    <n v="0"/>
    <x v="1"/>
    <n v="0"/>
    <n v="5"/>
  </r>
  <r>
    <x v="0"/>
    <d v="2024-04-08T00:00:00"/>
    <x v="3"/>
    <s v="No"/>
    <x v="0"/>
    <x v="2"/>
    <x v="0"/>
    <n v="30"/>
    <x v="0"/>
    <n v="20"/>
    <x v="0"/>
    <n v="20"/>
    <n v="45"/>
  </r>
  <r>
    <x v="2"/>
    <d v="2024-04-09T00:00:00"/>
    <x v="3"/>
    <s v="Yes"/>
    <x v="2"/>
    <x v="2"/>
    <x v="1"/>
    <s v="-"/>
    <x v="0"/>
    <n v="20"/>
    <x v="3"/>
    <n v="12"/>
    <n v="18"/>
  </r>
  <r>
    <x v="1"/>
    <d v="2024-04-10T00:00:00"/>
    <x v="3"/>
    <s v="No"/>
    <x v="1"/>
    <x v="0"/>
    <x v="1"/>
    <s v="-"/>
    <x v="1"/>
    <n v="0"/>
    <x v="1"/>
    <n v="2"/>
    <n v="3"/>
  </r>
  <r>
    <x v="0"/>
    <d v="2024-04-11T00:00:00"/>
    <x v="3"/>
    <s v="Yes"/>
    <x v="0"/>
    <x v="1"/>
    <x v="0"/>
    <n v="30"/>
    <x v="0"/>
    <n v="20"/>
    <x v="0"/>
    <n v="5"/>
    <n v="60"/>
  </r>
  <r>
    <x v="2"/>
    <d v="2024-04-12T00:00:00"/>
    <x v="3"/>
    <s v="No"/>
    <x v="2"/>
    <x v="0"/>
    <x v="1"/>
    <s v="-"/>
    <x v="0"/>
    <n v="20"/>
    <x v="3"/>
    <n v="10"/>
    <n v="20"/>
  </r>
  <r>
    <x v="1"/>
    <d v="2024-04-13T00:00:00"/>
    <x v="3"/>
    <s v="Yes"/>
    <x v="1"/>
    <x v="2"/>
    <x v="1"/>
    <s v="-"/>
    <x v="1"/>
    <n v="0"/>
    <x v="1"/>
    <n v="0"/>
    <n v="5"/>
  </r>
  <r>
    <x v="0"/>
    <d v="2024-04-14T00:00:00"/>
    <x v="3"/>
    <s v="No"/>
    <x v="0"/>
    <x v="0"/>
    <x v="0"/>
    <n v="30"/>
    <x v="0"/>
    <n v="20"/>
    <x v="0"/>
    <n v="3"/>
    <n v="62"/>
  </r>
  <r>
    <x v="2"/>
    <d v="2024-04-15T00:00:00"/>
    <x v="3"/>
    <s v="Yes"/>
    <x v="2"/>
    <x v="1"/>
    <x v="1"/>
    <s v="-"/>
    <x v="0"/>
    <n v="20"/>
    <x v="3"/>
    <n v="15"/>
    <n v="15"/>
  </r>
  <r>
    <x v="1"/>
    <d v="2024-04-16T00:00:00"/>
    <x v="3"/>
    <s v="No"/>
    <x v="1"/>
    <x v="0"/>
    <x v="1"/>
    <s v="-"/>
    <x v="1"/>
    <n v="0"/>
    <x v="1"/>
    <n v="1"/>
    <n v="4"/>
  </r>
  <r>
    <x v="0"/>
    <d v="2024-04-17T00:00:00"/>
    <x v="3"/>
    <s v="Yes"/>
    <x v="0"/>
    <x v="2"/>
    <x v="0"/>
    <n v="30"/>
    <x v="0"/>
    <n v="20"/>
    <x v="0"/>
    <n v="7"/>
    <n v="58"/>
  </r>
  <r>
    <x v="2"/>
    <d v="2024-04-18T00:00:00"/>
    <x v="3"/>
    <s v="No"/>
    <x v="2"/>
    <x v="0"/>
    <x v="1"/>
    <s v="-"/>
    <x v="0"/>
    <n v="20"/>
    <x v="3"/>
    <n v="10"/>
    <n v="20"/>
  </r>
  <r>
    <x v="1"/>
    <d v="2024-04-19T00:00:00"/>
    <x v="3"/>
    <s v="Yes"/>
    <x v="1"/>
    <x v="1"/>
    <x v="1"/>
    <s v="-"/>
    <x v="1"/>
    <n v="0"/>
    <x v="1"/>
    <n v="0"/>
    <n v="5"/>
  </r>
  <r>
    <x v="0"/>
    <d v="2024-04-20T00:00:00"/>
    <x v="3"/>
    <s v="No"/>
    <x v="0"/>
    <x v="0"/>
    <x v="0"/>
    <n v="30"/>
    <x v="0"/>
    <n v="20"/>
    <x v="0"/>
    <n v="20"/>
    <n v="45"/>
  </r>
  <r>
    <x v="2"/>
    <d v="2024-04-21T00:00:00"/>
    <x v="3"/>
    <s v="Yes"/>
    <x v="2"/>
    <x v="2"/>
    <x v="1"/>
    <s v="-"/>
    <x v="0"/>
    <n v="20"/>
    <x v="3"/>
    <n v="15"/>
    <n v="15"/>
  </r>
  <r>
    <x v="1"/>
    <d v="2024-04-22T00:00:00"/>
    <x v="3"/>
    <s v="No"/>
    <x v="1"/>
    <x v="0"/>
    <x v="1"/>
    <s v="-"/>
    <x v="1"/>
    <n v="0"/>
    <x v="1"/>
    <n v="1"/>
    <n v="4"/>
  </r>
  <r>
    <x v="0"/>
    <d v="2024-04-22T00:00:00"/>
    <x v="3"/>
    <s v="No"/>
    <x v="0"/>
    <x v="0"/>
    <x v="0"/>
    <n v="30"/>
    <x v="1"/>
    <n v="0"/>
    <x v="2"/>
    <n v="3"/>
    <n v="42"/>
  </r>
  <r>
    <x v="0"/>
    <d v="2024-04-23T00:00:00"/>
    <x v="3"/>
    <s v="Yes"/>
    <x v="0"/>
    <x v="1"/>
    <x v="0"/>
    <n v="30"/>
    <x v="0"/>
    <n v="20"/>
    <x v="0"/>
    <n v="3"/>
    <n v="62"/>
  </r>
  <r>
    <x v="2"/>
    <d v="2024-04-24T00:00:00"/>
    <x v="3"/>
    <s v="No"/>
    <x v="2"/>
    <x v="0"/>
    <x v="1"/>
    <s v="-"/>
    <x v="0"/>
    <n v="20"/>
    <x v="3"/>
    <n v="10"/>
    <n v="20"/>
  </r>
  <r>
    <x v="1"/>
    <d v="2024-04-25T00:00:00"/>
    <x v="3"/>
    <s v="Yes"/>
    <x v="1"/>
    <x v="2"/>
    <x v="1"/>
    <s v="-"/>
    <x v="1"/>
    <n v="0"/>
    <x v="1"/>
    <n v="0"/>
    <n v="5"/>
  </r>
  <r>
    <x v="0"/>
    <d v="2024-04-26T00:00:00"/>
    <x v="3"/>
    <s v="No"/>
    <x v="0"/>
    <x v="0"/>
    <x v="0"/>
    <n v="30"/>
    <x v="0"/>
    <n v="20"/>
    <x v="0"/>
    <n v="5"/>
    <n v="60"/>
  </r>
  <r>
    <x v="2"/>
    <d v="2024-04-27T00:00:00"/>
    <x v="3"/>
    <s v="Yes"/>
    <x v="2"/>
    <x v="1"/>
    <x v="1"/>
    <s v="-"/>
    <x v="0"/>
    <n v="20"/>
    <x v="3"/>
    <n v="15"/>
    <n v="15"/>
  </r>
  <r>
    <x v="1"/>
    <d v="2024-04-28T00:00:00"/>
    <x v="3"/>
    <s v="No"/>
    <x v="1"/>
    <x v="0"/>
    <x v="1"/>
    <s v="-"/>
    <x v="1"/>
    <n v="0"/>
    <x v="1"/>
    <n v="1"/>
    <n v="4"/>
  </r>
  <r>
    <x v="0"/>
    <d v="2024-04-29T00:00:00"/>
    <x v="3"/>
    <s v="Yes"/>
    <x v="0"/>
    <x v="2"/>
    <x v="0"/>
    <n v="30"/>
    <x v="0"/>
    <n v="20"/>
    <x v="0"/>
    <n v="20"/>
    <n v="45"/>
  </r>
  <r>
    <x v="2"/>
    <d v="2024-04-30T00:00:00"/>
    <x v="3"/>
    <s v="No"/>
    <x v="2"/>
    <x v="0"/>
    <x v="1"/>
    <s v="-"/>
    <x v="0"/>
    <n v="20"/>
    <x v="3"/>
    <n v="5"/>
    <n v="25"/>
  </r>
  <r>
    <x v="1"/>
    <d v="2024-05-01T00:00:00"/>
    <x v="4"/>
    <s v="No"/>
    <x v="1"/>
    <x v="0"/>
    <x v="1"/>
    <s v="-"/>
    <x v="1"/>
    <n v="0"/>
    <x v="1"/>
    <n v="0"/>
    <n v="5"/>
  </r>
  <r>
    <x v="0"/>
    <d v="2024-05-02T00:00:00"/>
    <x v="4"/>
    <s v="Yes"/>
    <x v="0"/>
    <x v="2"/>
    <x v="0"/>
    <n v="30"/>
    <x v="0"/>
    <n v="20"/>
    <x v="0"/>
    <n v="7"/>
    <n v="58"/>
  </r>
  <r>
    <x v="2"/>
    <d v="2024-05-03T00:00:00"/>
    <x v="4"/>
    <s v="No"/>
    <x v="2"/>
    <x v="1"/>
    <x v="1"/>
    <s v="-"/>
    <x v="0"/>
    <n v="20"/>
    <x v="3"/>
    <n v="10"/>
    <n v="20"/>
  </r>
  <r>
    <x v="1"/>
    <d v="2024-05-03T00:00:00"/>
    <x v="4"/>
    <s v="Yes"/>
    <x v="1"/>
    <x v="2"/>
    <x v="0"/>
    <n v="30"/>
    <x v="1"/>
    <n v="0"/>
    <x v="2"/>
    <n v="0"/>
    <n v="35"/>
  </r>
  <r>
    <x v="1"/>
    <d v="2024-05-04T00:00:00"/>
    <x v="4"/>
    <s v="Yes"/>
    <x v="1"/>
    <x v="2"/>
    <x v="1"/>
    <s v="-"/>
    <x v="1"/>
    <n v="0"/>
    <x v="1"/>
    <n v="1"/>
    <n v="4"/>
  </r>
  <r>
    <x v="0"/>
    <d v="2024-05-05T00:00:00"/>
    <x v="4"/>
    <s v="No"/>
    <x v="0"/>
    <x v="0"/>
    <x v="0"/>
    <n v="30"/>
    <x v="0"/>
    <n v="20"/>
    <x v="0"/>
    <n v="15"/>
    <n v="50"/>
  </r>
  <r>
    <x v="2"/>
    <d v="2024-05-06T00:00:00"/>
    <x v="4"/>
    <s v="Yes"/>
    <x v="2"/>
    <x v="0"/>
    <x v="1"/>
    <s v="-"/>
    <x v="0"/>
    <n v="20"/>
    <x v="3"/>
    <n v="5"/>
    <n v="25"/>
  </r>
  <r>
    <x v="1"/>
    <d v="2024-05-07T00:00:00"/>
    <x v="4"/>
    <s v="No"/>
    <x v="1"/>
    <x v="1"/>
    <x v="1"/>
    <s v="-"/>
    <x v="1"/>
    <n v="0"/>
    <x v="1"/>
    <n v="0"/>
    <n v="5"/>
  </r>
  <r>
    <x v="0"/>
    <d v="2024-05-08T00:00:00"/>
    <x v="4"/>
    <s v="Yes"/>
    <x v="0"/>
    <x v="2"/>
    <x v="0"/>
    <n v="30"/>
    <x v="0"/>
    <n v="20"/>
    <x v="0"/>
    <n v="20"/>
    <n v="45"/>
  </r>
  <r>
    <x v="2"/>
    <d v="2024-05-09T00:00:00"/>
    <x v="4"/>
    <s v="No"/>
    <x v="2"/>
    <x v="2"/>
    <x v="1"/>
    <s v="-"/>
    <x v="0"/>
    <n v="20"/>
    <x v="3"/>
    <n v="12"/>
    <n v="18"/>
  </r>
  <r>
    <x v="1"/>
    <d v="2024-05-09T00:00:00"/>
    <x v="4"/>
    <s v="Yes"/>
    <x v="1"/>
    <x v="1"/>
    <x v="0"/>
    <n v="30"/>
    <x v="1"/>
    <n v="0"/>
    <x v="2"/>
    <n v="0"/>
    <n v="35"/>
  </r>
  <r>
    <x v="1"/>
    <d v="2024-05-10T00:00:00"/>
    <x v="4"/>
    <s v="Yes"/>
    <x v="1"/>
    <x v="0"/>
    <x v="1"/>
    <s v="-"/>
    <x v="1"/>
    <n v="0"/>
    <x v="1"/>
    <n v="2"/>
    <n v="3"/>
  </r>
  <r>
    <x v="0"/>
    <d v="2024-05-11T00:00:00"/>
    <x v="4"/>
    <s v="No"/>
    <x v="0"/>
    <x v="1"/>
    <x v="0"/>
    <n v="30"/>
    <x v="0"/>
    <n v="20"/>
    <x v="0"/>
    <n v="5"/>
    <n v="60"/>
  </r>
  <r>
    <x v="2"/>
    <d v="2024-05-12T00:00:00"/>
    <x v="4"/>
    <s v="Yes"/>
    <x v="2"/>
    <x v="0"/>
    <x v="1"/>
    <s v="-"/>
    <x v="0"/>
    <n v="20"/>
    <x v="3"/>
    <n v="10"/>
    <n v="20"/>
  </r>
  <r>
    <x v="1"/>
    <d v="2024-05-13T00:00:00"/>
    <x v="4"/>
    <s v="No"/>
    <x v="1"/>
    <x v="2"/>
    <x v="1"/>
    <s v="-"/>
    <x v="1"/>
    <n v="0"/>
    <x v="1"/>
    <n v="0"/>
    <n v="5"/>
  </r>
  <r>
    <x v="0"/>
    <d v="2024-05-13T00:00:00"/>
    <x v="4"/>
    <s v="No"/>
    <x v="0"/>
    <x v="0"/>
    <x v="0"/>
    <n v="30"/>
    <x v="1"/>
    <n v="0"/>
    <x v="2"/>
    <n v="20"/>
    <n v="25"/>
  </r>
  <r>
    <x v="0"/>
    <d v="2024-05-14T00:00:00"/>
    <x v="4"/>
    <s v="Yes"/>
    <x v="0"/>
    <x v="0"/>
    <x v="0"/>
    <n v="30"/>
    <x v="0"/>
    <n v="20"/>
    <x v="0"/>
    <n v="3"/>
    <n v="62"/>
  </r>
  <r>
    <x v="2"/>
    <d v="2024-05-15T00:00:00"/>
    <x v="4"/>
    <s v="No"/>
    <x v="2"/>
    <x v="1"/>
    <x v="1"/>
    <s v="-"/>
    <x v="0"/>
    <n v="20"/>
    <x v="3"/>
    <n v="15"/>
    <n v="15"/>
  </r>
  <r>
    <x v="0"/>
    <d v="2024-05-15T00:00:00"/>
    <x v="4"/>
    <s v="No"/>
    <x v="0"/>
    <x v="0"/>
    <x v="0"/>
    <n v="30"/>
    <x v="1"/>
    <n v="0"/>
    <x v="2"/>
    <n v="15"/>
    <n v="30"/>
  </r>
  <r>
    <x v="1"/>
    <d v="2024-05-16T00:00:00"/>
    <x v="4"/>
    <s v="Yes"/>
    <x v="1"/>
    <x v="0"/>
    <x v="1"/>
    <s v="-"/>
    <x v="1"/>
    <n v="0"/>
    <x v="1"/>
    <n v="1"/>
    <n v="4"/>
  </r>
  <r>
    <x v="0"/>
    <d v="2024-05-17T00:00:00"/>
    <x v="4"/>
    <s v="No"/>
    <x v="0"/>
    <x v="2"/>
    <x v="0"/>
    <n v="30"/>
    <x v="0"/>
    <n v="20"/>
    <x v="0"/>
    <n v="7"/>
    <n v="58"/>
  </r>
  <r>
    <x v="2"/>
    <d v="2024-05-18T00:00:00"/>
    <x v="4"/>
    <s v="Yes"/>
    <x v="2"/>
    <x v="0"/>
    <x v="1"/>
    <s v="-"/>
    <x v="0"/>
    <n v="20"/>
    <x v="3"/>
    <n v="10"/>
    <n v="20"/>
  </r>
  <r>
    <x v="1"/>
    <d v="2024-05-19T00:00:00"/>
    <x v="4"/>
    <s v="No"/>
    <x v="1"/>
    <x v="1"/>
    <x v="1"/>
    <s v="-"/>
    <x v="1"/>
    <n v="0"/>
    <x v="1"/>
    <n v="0"/>
    <n v="5"/>
  </r>
  <r>
    <x v="0"/>
    <d v="2024-05-20T00:00:00"/>
    <x v="4"/>
    <s v="Yes"/>
    <x v="0"/>
    <x v="0"/>
    <x v="0"/>
    <n v="30"/>
    <x v="0"/>
    <n v="20"/>
    <x v="0"/>
    <n v="20"/>
    <n v="45"/>
  </r>
  <r>
    <x v="2"/>
    <d v="2024-05-21T00:00:00"/>
    <x v="4"/>
    <s v="No"/>
    <x v="2"/>
    <x v="2"/>
    <x v="1"/>
    <s v="-"/>
    <x v="0"/>
    <n v="20"/>
    <x v="3"/>
    <n v="15"/>
    <n v="15"/>
  </r>
  <r>
    <x v="1"/>
    <d v="2024-05-22T00:00:00"/>
    <x v="4"/>
    <s v="Yes"/>
    <x v="1"/>
    <x v="0"/>
    <x v="1"/>
    <s v="-"/>
    <x v="1"/>
    <n v="0"/>
    <x v="1"/>
    <n v="1"/>
    <n v="4"/>
  </r>
  <r>
    <x v="0"/>
    <d v="2024-05-23T00:00:00"/>
    <x v="4"/>
    <s v="No"/>
    <x v="0"/>
    <x v="1"/>
    <x v="0"/>
    <n v="30"/>
    <x v="0"/>
    <n v="20"/>
    <x v="0"/>
    <n v="3"/>
    <n v="62"/>
  </r>
  <r>
    <x v="2"/>
    <d v="2024-05-24T00:00:00"/>
    <x v="4"/>
    <s v="Yes"/>
    <x v="2"/>
    <x v="0"/>
    <x v="1"/>
    <s v="-"/>
    <x v="0"/>
    <n v="20"/>
    <x v="3"/>
    <n v="10"/>
    <n v="20"/>
  </r>
  <r>
    <x v="1"/>
    <d v="2024-05-25T00:00:00"/>
    <x v="4"/>
    <s v="No"/>
    <x v="1"/>
    <x v="2"/>
    <x v="1"/>
    <s v="-"/>
    <x v="1"/>
    <n v="0"/>
    <x v="1"/>
    <n v="0"/>
    <n v="5"/>
  </r>
  <r>
    <x v="0"/>
    <d v="2024-05-26T00:00:00"/>
    <x v="4"/>
    <s v="Yes"/>
    <x v="0"/>
    <x v="0"/>
    <x v="0"/>
    <n v="30"/>
    <x v="0"/>
    <n v="20"/>
    <x v="0"/>
    <n v="5"/>
    <n v="60"/>
  </r>
  <r>
    <x v="2"/>
    <d v="2024-05-27T00:00:00"/>
    <x v="4"/>
    <s v="No"/>
    <x v="2"/>
    <x v="1"/>
    <x v="1"/>
    <s v="-"/>
    <x v="0"/>
    <n v="20"/>
    <x v="3"/>
    <n v="15"/>
    <n v="15"/>
  </r>
  <r>
    <x v="1"/>
    <d v="2024-05-28T00:00:00"/>
    <x v="4"/>
    <s v="Yes"/>
    <x v="1"/>
    <x v="0"/>
    <x v="1"/>
    <s v="-"/>
    <x v="1"/>
    <n v="0"/>
    <x v="1"/>
    <n v="1"/>
    <n v="4"/>
  </r>
  <r>
    <x v="0"/>
    <d v="2024-05-29T00:00:00"/>
    <x v="4"/>
    <s v="No"/>
    <x v="0"/>
    <x v="2"/>
    <x v="0"/>
    <n v="30"/>
    <x v="0"/>
    <n v="20"/>
    <x v="0"/>
    <n v="20"/>
    <n v="45"/>
  </r>
  <r>
    <x v="2"/>
    <d v="2024-05-30T00:00:00"/>
    <x v="4"/>
    <s v="Yes"/>
    <x v="2"/>
    <x v="2"/>
    <x v="1"/>
    <s v="-"/>
    <x v="0"/>
    <n v="20"/>
    <x v="3"/>
    <n v="15"/>
    <n v="15"/>
  </r>
  <r>
    <x v="2"/>
    <d v="2024-05-30T00:00:00"/>
    <x v="4"/>
    <s v="No"/>
    <x v="2"/>
    <x v="0"/>
    <x v="0"/>
    <n v="30"/>
    <x v="1"/>
    <n v="0"/>
    <x v="2"/>
    <n v="10"/>
    <n v="30"/>
  </r>
  <r>
    <x v="1"/>
    <d v="2024-05-31T00:00:00"/>
    <x v="4"/>
    <s v="No"/>
    <x v="1"/>
    <x v="1"/>
    <x v="1"/>
    <s v="-"/>
    <x v="1"/>
    <n v="0"/>
    <x v="1"/>
    <n v="0"/>
    <n v="5"/>
  </r>
  <r>
    <x v="0"/>
    <d v="2024-06-01T00:00:00"/>
    <x v="5"/>
    <s v="Yes"/>
    <x v="0"/>
    <x v="0"/>
    <x v="0"/>
    <n v="30"/>
    <x v="0"/>
    <n v="20"/>
    <x v="0"/>
    <n v="7"/>
    <n v="58"/>
  </r>
  <r>
    <x v="2"/>
    <d v="2024-06-02T00:00:00"/>
    <x v="5"/>
    <s v="No"/>
    <x v="2"/>
    <x v="1"/>
    <x v="1"/>
    <s v="-"/>
    <x v="0"/>
    <n v="20"/>
    <x v="3"/>
    <n v="10"/>
    <n v="20"/>
  </r>
  <r>
    <x v="1"/>
    <d v="2024-06-03T00:00:00"/>
    <x v="5"/>
    <s v="Yes"/>
    <x v="1"/>
    <x v="2"/>
    <x v="1"/>
    <s v="-"/>
    <x v="1"/>
    <n v="0"/>
    <x v="1"/>
    <n v="1"/>
    <n v="4"/>
  </r>
  <r>
    <x v="0"/>
    <d v="2024-06-04T00:00:00"/>
    <x v="5"/>
    <s v="No"/>
    <x v="0"/>
    <x v="0"/>
    <x v="0"/>
    <n v="30"/>
    <x v="0"/>
    <n v="20"/>
    <x v="0"/>
    <n v="15"/>
    <n v="50"/>
  </r>
  <r>
    <x v="2"/>
    <d v="2024-06-05T00:00:00"/>
    <x v="5"/>
    <s v="Yes"/>
    <x v="2"/>
    <x v="0"/>
    <x v="1"/>
    <s v="-"/>
    <x v="0"/>
    <n v="20"/>
    <x v="3"/>
    <n v="5"/>
    <n v="25"/>
  </r>
  <r>
    <x v="2"/>
    <d v="2024-06-05T00:00:00"/>
    <x v="5"/>
    <s v="No"/>
    <x v="2"/>
    <x v="0"/>
    <x v="0"/>
    <n v="30"/>
    <x v="1"/>
    <n v="0"/>
    <x v="2"/>
    <n v="10"/>
    <n v="30"/>
  </r>
  <r>
    <x v="1"/>
    <d v="2024-06-06T00:00:00"/>
    <x v="5"/>
    <s v="No"/>
    <x v="1"/>
    <x v="1"/>
    <x v="1"/>
    <s v="-"/>
    <x v="1"/>
    <n v="0"/>
    <x v="1"/>
    <n v="0"/>
    <n v="5"/>
  </r>
  <r>
    <x v="0"/>
    <d v="2024-06-07T00:00:00"/>
    <x v="5"/>
    <s v="Yes"/>
    <x v="0"/>
    <x v="2"/>
    <x v="0"/>
    <n v="30"/>
    <x v="0"/>
    <n v="20"/>
    <x v="0"/>
    <n v="20"/>
    <n v="45"/>
  </r>
  <r>
    <x v="2"/>
    <d v="2024-06-07T00:00:00"/>
    <x v="5"/>
    <s v="No"/>
    <x v="2"/>
    <x v="0"/>
    <x v="0"/>
    <n v="30"/>
    <x v="1"/>
    <n v="0"/>
    <x v="2"/>
    <n v="10"/>
    <n v="30"/>
  </r>
  <r>
    <x v="2"/>
    <d v="2024-06-08T00:00:00"/>
    <x v="5"/>
    <s v="No"/>
    <x v="2"/>
    <x v="2"/>
    <x v="1"/>
    <s v="-"/>
    <x v="0"/>
    <n v="20"/>
    <x v="3"/>
    <n v="12"/>
    <n v="18"/>
  </r>
  <r>
    <x v="1"/>
    <d v="2024-06-09T00:00:00"/>
    <x v="5"/>
    <s v="Yes"/>
    <x v="1"/>
    <x v="0"/>
    <x v="1"/>
    <s v="-"/>
    <x v="1"/>
    <n v="0"/>
    <x v="1"/>
    <n v="2"/>
    <n v="3"/>
  </r>
  <r>
    <x v="2"/>
    <d v="2024-06-09T00:00:00"/>
    <x v="5"/>
    <s v="Yes"/>
    <x v="2"/>
    <x v="1"/>
    <x v="0"/>
    <n v="30"/>
    <x v="1"/>
    <n v="0"/>
    <x v="2"/>
    <n v="15"/>
    <n v="25"/>
  </r>
  <r>
    <x v="1"/>
    <d v="2024-06-10T00:00:00"/>
    <x v="5"/>
    <s v="Yes"/>
    <x v="1"/>
    <x v="0"/>
    <x v="1"/>
    <s v="-"/>
    <x v="1"/>
    <n v="0"/>
    <x v="1"/>
    <n v="0"/>
    <n v="5"/>
  </r>
  <r>
    <x v="0"/>
    <d v="2024-06-11T00:00:00"/>
    <x v="5"/>
    <s v="No"/>
    <x v="0"/>
    <x v="2"/>
    <x v="0"/>
    <n v="30"/>
    <x v="0"/>
    <n v="20"/>
    <x v="0"/>
    <n v="7"/>
    <n v="58"/>
  </r>
  <r>
    <x v="2"/>
    <d v="2024-06-12T00:00:00"/>
    <x v="5"/>
    <s v="Yes"/>
    <x v="2"/>
    <x v="1"/>
    <x v="1"/>
    <s v="-"/>
    <x v="0"/>
    <n v="20"/>
    <x v="3"/>
    <n v="10"/>
    <n v="20"/>
  </r>
  <r>
    <x v="1"/>
    <d v="2024-06-13T00:00:00"/>
    <x v="5"/>
    <s v="No"/>
    <x v="1"/>
    <x v="2"/>
    <x v="1"/>
    <s v="-"/>
    <x v="1"/>
    <n v="0"/>
    <x v="1"/>
    <n v="1"/>
    <n v="4"/>
  </r>
  <r>
    <x v="0"/>
    <d v="2024-06-13T00:00:00"/>
    <x v="5"/>
    <s v="Yes"/>
    <x v="0"/>
    <x v="1"/>
    <x v="0"/>
    <n v="30"/>
    <x v="1"/>
    <n v="0"/>
    <x v="2"/>
    <n v="5"/>
    <n v="40"/>
  </r>
  <r>
    <x v="0"/>
    <d v="2024-06-14T00:00:00"/>
    <x v="5"/>
    <s v="Yes"/>
    <x v="0"/>
    <x v="0"/>
    <x v="0"/>
    <n v="30"/>
    <x v="0"/>
    <n v="20"/>
    <x v="0"/>
    <n v="15"/>
    <n v="50"/>
  </r>
  <r>
    <x v="2"/>
    <d v="2024-06-15T00:00:00"/>
    <x v="5"/>
    <s v="No"/>
    <x v="2"/>
    <x v="0"/>
    <x v="1"/>
    <s v="-"/>
    <x v="0"/>
    <n v="20"/>
    <x v="3"/>
    <n v="5"/>
    <n v="25"/>
  </r>
  <r>
    <x v="1"/>
    <d v="2024-06-16T00:00:00"/>
    <x v="5"/>
    <s v="Yes"/>
    <x v="1"/>
    <x v="1"/>
    <x v="1"/>
    <s v="-"/>
    <x v="1"/>
    <n v="0"/>
    <x v="1"/>
    <n v="0"/>
    <n v="5"/>
  </r>
  <r>
    <x v="0"/>
    <d v="2024-06-17T00:00:00"/>
    <x v="5"/>
    <s v="No"/>
    <x v="0"/>
    <x v="2"/>
    <x v="0"/>
    <n v="30"/>
    <x v="0"/>
    <n v="20"/>
    <x v="0"/>
    <n v="20"/>
    <n v="45"/>
  </r>
  <r>
    <x v="2"/>
    <d v="2024-06-18T00:00:00"/>
    <x v="5"/>
    <s v="Yes"/>
    <x v="2"/>
    <x v="2"/>
    <x v="1"/>
    <s v="-"/>
    <x v="0"/>
    <n v="20"/>
    <x v="3"/>
    <n v="12"/>
    <n v="18"/>
  </r>
  <r>
    <x v="1"/>
    <d v="2024-06-19T00:00:00"/>
    <x v="5"/>
    <s v="No"/>
    <x v="1"/>
    <x v="0"/>
    <x v="1"/>
    <s v="-"/>
    <x v="1"/>
    <n v="0"/>
    <x v="1"/>
    <n v="2"/>
    <n v="3"/>
  </r>
  <r>
    <x v="1"/>
    <d v="2024-06-19T00:00:00"/>
    <x v="5"/>
    <s v="Yes"/>
    <x v="1"/>
    <x v="1"/>
    <x v="0"/>
    <n v="30"/>
    <x v="1"/>
    <n v="0"/>
    <x v="2"/>
    <n v="0"/>
    <n v="35"/>
  </r>
  <r>
    <x v="0"/>
    <d v="2024-06-20T00:00:00"/>
    <x v="5"/>
    <s v="Yes"/>
    <x v="0"/>
    <x v="1"/>
    <x v="0"/>
    <n v="30"/>
    <x v="0"/>
    <n v="20"/>
    <x v="0"/>
    <n v="5"/>
    <n v="60"/>
  </r>
  <r>
    <x v="2"/>
    <d v="2024-06-21T00:00:00"/>
    <x v="5"/>
    <s v="No"/>
    <x v="2"/>
    <x v="0"/>
    <x v="1"/>
    <s v="-"/>
    <x v="0"/>
    <n v="20"/>
    <x v="3"/>
    <n v="10"/>
    <n v="20"/>
  </r>
  <r>
    <x v="1"/>
    <d v="2024-06-22T00:00:00"/>
    <x v="5"/>
    <s v="Yes"/>
    <x v="1"/>
    <x v="2"/>
    <x v="1"/>
    <s v="-"/>
    <x v="1"/>
    <n v="0"/>
    <x v="1"/>
    <n v="0"/>
    <n v="5"/>
  </r>
  <r>
    <x v="0"/>
    <d v="2024-06-23T00:00:00"/>
    <x v="5"/>
    <s v="No"/>
    <x v="0"/>
    <x v="0"/>
    <x v="0"/>
    <n v="30"/>
    <x v="0"/>
    <n v="20"/>
    <x v="0"/>
    <n v="3"/>
    <n v="62"/>
  </r>
  <r>
    <x v="2"/>
    <d v="2024-06-24T00:00:00"/>
    <x v="5"/>
    <s v="Yes"/>
    <x v="2"/>
    <x v="1"/>
    <x v="1"/>
    <s v="-"/>
    <x v="0"/>
    <n v="20"/>
    <x v="3"/>
    <n v="15"/>
    <n v="15"/>
  </r>
  <r>
    <x v="1"/>
    <d v="2024-06-25T00:00:00"/>
    <x v="5"/>
    <s v="No"/>
    <x v="1"/>
    <x v="0"/>
    <x v="1"/>
    <s v="-"/>
    <x v="1"/>
    <n v="0"/>
    <x v="1"/>
    <n v="1"/>
    <n v="4"/>
  </r>
  <r>
    <x v="0"/>
    <d v="2024-06-26T00:00:00"/>
    <x v="5"/>
    <s v="Yes"/>
    <x v="0"/>
    <x v="2"/>
    <x v="0"/>
    <n v="30"/>
    <x v="0"/>
    <n v="20"/>
    <x v="0"/>
    <n v="7"/>
    <n v="58"/>
  </r>
  <r>
    <x v="2"/>
    <d v="2024-06-27T00:00:00"/>
    <x v="5"/>
    <s v="No"/>
    <x v="2"/>
    <x v="0"/>
    <x v="1"/>
    <s v="-"/>
    <x v="0"/>
    <n v="20"/>
    <x v="3"/>
    <n v="10"/>
    <n v="20"/>
  </r>
  <r>
    <x v="1"/>
    <d v="2024-06-28T00:00:00"/>
    <x v="5"/>
    <s v="Yes"/>
    <x v="1"/>
    <x v="1"/>
    <x v="1"/>
    <s v="-"/>
    <x v="1"/>
    <n v="0"/>
    <x v="1"/>
    <n v="0"/>
    <n v="5"/>
  </r>
  <r>
    <x v="0"/>
    <d v="2024-06-29T00:00:00"/>
    <x v="5"/>
    <s v="No"/>
    <x v="0"/>
    <x v="0"/>
    <x v="0"/>
    <n v="30"/>
    <x v="0"/>
    <n v="20"/>
    <x v="0"/>
    <n v="20"/>
    <n v="45"/>
  </r>
  <r>
    <x v="0"/>
    <d v="2024-06-29T00:00:00"/>
    <x v="5"/>
    <s v="No"/>
    <x v="0"/>
    <x v="0"/>
    <x v="0"/>
    <n v="30"/>
    <x v="1"/>
    <n v="0"/>
    <x v="2"/>
    <n v="3"/>
    <n v="42"/>
  </r>
  <r>
    <x v="2"/>
    <d v="2024-06-30T00:00:00"/>
    <x v="5"/>
    <s v="Yes"/>
    <x v="2"/>
    <x v="2"/>
    <x v="1"/>
    <s v="-"/>
    <x v="0"/>
    <n v="20"/>
    <x v="3"/>
    <n v="15"/>
    <n v="15"/>
  </r>
  <r>
    <x v="1"/>
    <d v="2024-07-01T00:00:00"/>
    <x v="6"/>
    <s v="No"/>
    <x v="1"/>
    <x v="0"/>
    <x v="1"/>
    <s v="-"/>
    <x v="1"/>
    <n v="0"/>
    <x v="1"/>
    <n v="1"/>
    <n v="4"/>
  </r>
  <r>
    <x v="0"/>
    <d v="2024-07-02T00:00:00"/>
    <x v="6"/>
    <s v="Yes"/>
    <x v="0"/>
    <x v="1"/>
    <x v="0"/>
    <n v="30"/>
    <x v="0"/>
    <n v="20"/>
    <x v="0"/>
    <n v="3"/>
    <n v="62"/>
  </r>
  <r>
    <x v="2"/>
    <d v="2024-07-03T00:00:00"/>
    <x v="6"/>
    <s v="No"/>
    <x v="2"/>
    <x v="0"/>
    <x v="1"/>
    <s v="-"/>
    <x v="0"/>
    <n v="20"/>
    <x v="3"/>
    <n v="10"/>
    <n v="20"/>
  </r>
  <r>
    <x v="1"/>
    <d v="2024-07-04T00:00:00"/>
    <x v="6"/>
    <s v="Yes"/>
    <x v="1"/>
    <x v="2"/>
    <x v="1"/>
    <s v="-"/>
    <x v="1"/>
    <n v="0"/>
    <x v="1"/>
    <n v="0"/>
    <n v="5"/>
  </r>
  <r>
    <x v="0"/>
    <d v="2024-07-05T00:00:00"/>
    <x v="6"/>
    <s v="No"/>
    <x v="0"/>
    <x v="0"/>
    <x v="0"/>
    <n v="30"/>
    <x v="0"/>
    <n v="20"/>
    <x v="0"/>
    <n v="15"/>
    <n v="50"/>
  </r>
  <r>
    <x v="2"/>
    <d v="2024-07-06T00:00:00"/>
    <x v="6"/>
    <s v="Yes"/>
    <x v="2"/>
    <x v="1"/>
    <x v="1"/>
    <s v="-"/>
    <x v="0"/>
    <n v="20"/>
    <x v="3"/>
    <n v="15"/>
    <n v="15"/>
  </r>
  <r>
    <x v="1"/>
    <d v="2024-07-07T00:00:00"/>
    <x v="6"/>
    <s v="No"/>
    <x v="1"/>
    <x v="0"/>
    <x v="1"/>
    <s v="-"/>
    <x v="1"/>
    <n v="0"/>
    <x v="1"/>
    <n v="1"/>
    <n v="4"/>
  </r>
  <r>
    <x v="0"/>
    <d v="2024-07-08T00:00:00"/>
    <x v="6"/>
    <s v="Yes"/>
    <x v="0"/>
    <x v="2"/>
    <x v="0"/>
    <n v="30"/>
    <x v="0"/>
    <n v="20"/>
    <x v="0"/>
    <n v="7"/>
    <n v="58"/>
  </r>
  <r>
    <x v="2"/>
    <d v="2024-07-09T00:00:00"/>
    <x v="6"/>
    <s v="No"/>
    <x v="2"/>
    <x v="0"/>
    <x v="1"/>
    <s v="-"/>
    <x v="0"/>
    <n v="20"/>
    <x v="3"/>
    <n v="10"/>
    <n v="20"/>
  </r>
  <r>
    <x v="0"/>
    <d v="2024-07-09T00:00:00"/>
    <x v="6"/>
    <s v="Yes"/>
    <x v="0"/>
    <x v="2"/>
    <x v="0"/>
    <n v="30"/>
    <x v="1"/>
    <n v="0"/>
    <x v="2"/>
    <n v="7"/>
    <n v="38"/>
  </r>
  <r>
    <x v="1"/>
    <d v="2024-07-09T00:00:00"/>
    <x v="6"/>
    <s v="No"/>
    <x v="1"/>
    <x v="0"/>
    <x v="0"/>
    <n v="30"/>
    <x v="1"/>
    <n v="0"/>
    <x v="2"/>
    <n v="1"/>
    <n v="34"/>
  </r>
  <r>
    <x v="1"/>
    <d v="2024-07-10T00:00:00"/>
    <x v="6"/>
    <s v="Yes"/>
    <x v="1"/>
    <x v="0"/>
    <x v="1"/>
    <s v="-"/>
    <x v="1"/>
    <n v="0"/>
    <x v="1"/>
    <n v="0"/>
    <n v="5"/>
  </r>
  <r>
    <x v="1"/>
    <d v="2024-07-10T00:00:00"/>
    <x v="6"/>
    <s v="Yes"/>
    <x v="1"/>
    <x v="0"/>
    <x v="0"/>
    <n v="30"/>
    <x v="1"/>
    <n v="0"/>
    <x v="2"/>
    <n v="0"/>
    <n v="35"/>
  </r>
  <r>
    <x v="0"/>
    <d v="2024-07-11T00:00:00"/>
    <x v="6"/>
    <s v="No"/>
    <x v="0"/>
    <x v="2"/>
    <x v="0"/>
    <n v="30"/>
    <x v="0"/>
    <n v="20"/>
    <x v="0"/>
    <n v="7"/>
    <n v="58"/>
  </r>
  <r>
    <x v="2"/>
    <d v="2024-07-12T00:00:00"/>
    <x v="6"/>
    <s v="Yes"/>
    <x v="2"/>
    <x v="1"/>
    <x v="1"/>
    <s v="-"/>
    <x v="0"/>
    <n v="20"/>
    <x v="3"/>
    <n v="10"/>
    <n v="20"/>
  </r>
  <r>
    <x v="1"/>
    <d v="2024-07-13T00:00:00"/>
    <x v="6"/>
    <s v="No"/>
    <x v="1"/>
    <x v="2"/>
    <x v="1"/>
    <s v="-"/>
    <x v="1"/>
    <n v="0"/>
    <x v="1"/>
    <n v="1"/>
    <n v="4"/>
  </r>
  <r>
    <x v="0"/>
    <d v="2024-07-14T00:00:00"/>
    <x v="6"/>
    <s v="Yes"/>
    <x v="0"/>
    <x v="0"/>
    <x v="0"/>
    <n v="30"/>
    <x v="0"/>
    <n v="20"/>
    <x v="0"/>
    <n v="15"/>
    <n v="50"/>
  </r>
  <r>
    <x v="2"/>
    <d v="2024-07-15T00:00:00"/>
    <x v="6"/>
    <s v="No"/>
    <x v="2"/>
    <x v="0"/>
    <x v="1"/>
    <s v="-"/>
    <x v="0"/>
    <n v="20"/>
    <x v="3"/>
    <n v="5"/>
    <n v="25"/>
  </r>
  <r>
    <x v="1"/>
    <d v="2024-07-16T00:00:00"/>
    <x v="6"/>
    <s v="Yes"/>
    <x v="1"/>
    <x v="1"/>
    <x v="1"/>
    <s v="-"/>
    <x v="1"/>
    <n v="0"/>
    <x v="1"/>
    <n v="0"/>
    <n v="5"/>
  </r>
  <r>
    <x v="0"/>
    <d v="2024-07-17T00:00:00"/>
    <x v="6"/>
    <s v="No"/>
    <x v="0"/>
    <x v="2"/>
    <x v="0"/>
    <n v="30"/>
    <x v="0"/>
    <n v="20"/>
    <x v="0"/>
    <n v="20"/>
    <n v="45"/>
  </r>
  <r>
    <x v="2"/>
    <d v="2024-07-18T00:00:00"/>
    <x v="6"/>
    <s v="Yes"/>
    <x v="2"/>
    <x v="2"/>
    <x v="1"/>
    <s v="-"/>
    <x v="0"/>
    <n v="20"/>
    <x v="3"/>
    <n v="12"/>
    <n v="18"/>
  </r>
  <r>
    <x v="1"/>
    <d v="2024-07-19T00:00:00"/>
    <x v="6"/>
    <s v="No"/>
    <x v="1"/>
    <x v="0"/>
    <x v="1"/>
    <s v="-"/>
    <x v="1"/>
    <n v="0"/>
    <x v="1"/>
    <n v="2"/>
    <n v="3"/>
  </r>
  <r>
    <x v="0"/>
    <d v="2024-07-20T00:00:00"/>
    <x v="6"/>
    <s v="Yes"/>
    <x v="0"/>
    <x v="1"/>
    <x v="0"/>
    <n v="30"/>
    <x v="0"/>
    <n v="20"/>
    <x v="0"/>
    <n v="5"/>
    <n v="60"/>
  </r>
  <r>
    <x v="2"/>
    <d v="2024-07-21T00:00:00"/>
    <x v="6"/>
    <s v="No"/>
    <x v="2"/>
    <x v="0"/>
    <x v="1"/>
    <s v="-"/>
    <x v="0"/>
    <n v="20"/>
    <x v="3"/>
    <n v="10"/>
    <n v="20"/>
  </r>
  <r>
    <x v="1"/>
    <d v="2024-07-22T00:00:00"/>
    <x v="6"/>
    <s v="Yes"/>
    <x v="1"/>
    <x v="2"/>
    <x v="1"/>
    <s v="-"/>
    <x v="1"/>
    <n v="0"/>
    <x v="1"/>
    <n v="0"/>
    <n v="5"/>
  </r>
  <r>
    <x v="0"/>
    <d v="2024-07-23T00:00:00"/>
    <x v="6"/>
    <s v="No"/>
    <x v="0"/>
    <x v="0"/>
    <x v="0"/>
    <n v="30"/>
    <x v="0"/>
    <n v="20"/>
    <x v="0"/>
    <n v="3"/>
    <n v="62"/>
  </r>
  <r>
    <x v="2"/>
    <d v="2024-07-24T00:00:00"/>
    <x v="6"/>
    <s v="Yes"/>
    <x v="2"/>
    <x v="1"/>
    <x v="1"/>
    <s v="-"/>
    <x v="0"/>
    <n v="20"/>
    <x v="3"/>
    <n v="15"/>
    <n v="15"/>
  </r>
  <r>
    <x v="1"/>
    <d v="2024-07-25T00:00:00"/>
    <x v="6"/>
    <s v="No"/>
    <x v="1"/>
    <x v="0"/>
    <x v="1"/>
    <s v="-"/>
    <x v="1"/>
    <n v="0"/>
    <x v="1"/>
    <n v="1"/>
    <n v="4"/>
  </r>
  <r>
    <x v="0"/>
    <d v="2024-07-26T00:00:00"/>
    <x v="6"/>
    <s v="Yes"/>
    <x v="0"/>
    <x v="2"/>
    <x v="0"/>
    <n v="30"/>
    <x v="0"/>
    <n v="20"/>
    <x v="0"/>
    <n v="7"/>
    <n v="58"/>
  </r>
  <r>
    <x v="2"/>
    <d v="2024-07-27T00:00:00"/>
    <x v="6"/>
    <s v="No"/>
    <x v="2"/>
    <x v="0"/>
    <x v="1"/>
    <s v="-"/>
    <x v="0"/>
    <n v="20"/>
    <x v="3"/>
    <n v="10"/>
    <n v="20"/>
  </r>
  <r>
    <x v="1"/>
    <d v="2024-07-28T00:00:00"/>
    <x v="6"/>
    <s v="Yes"/>
    <x v="1"/>
    <x v="1"/>
    <x v="1"/>
    <s v="-"/>
    <x v="1"/>
    <n v="0"/>
    <x v="1"/>
    <n v="0"/>
    <n v="5"/>
  </r>
  <r>
    <x v="0"/>
    <d v="2024-07-29T00:00:00"/>
    <x v="6"/>
    <s v="No"/>
    <x v="0"/>
    <x v="0"/>
    <x v="0"/>
    <n v="30"/>
    <x v="0"/>
    <n v="20"/>
    <x v="0"/>
    <n v="20"/>
    <n v="45"/>
  </r>
  <r>
    <x v="2"/>
    <d v="2024-07-30T00:00:00"/>
    <x v="6"/>
    <s v="Yes"/>
    <x v="2"/>
    <x v="2"/>
    <x v="1"/>
    <s v="-"/>
    <x v="0"/>
    <n v="20"/>
    <x v="3"/>
    <n v="15"/>
    <n v="15"/>
  </r>
  <r>
    <x v="1"/>
    <d v="2024-07-31T00:00:00"/>
    <x v="6"/>
    <s v="No"/>
    <x v="1"/>
    <x v="0"/>
    <x v="1"/>
    <s v="-"/>
    <x v="1"/>
    <n v="0"/>
    <x v="1"/>
    <n v="1"/>
    <n v="4"/>
  </r>
  <r>
    <x v="0"/>
    <d v="2024-08-01T00:00:00"/>
    <x v="7"/>
    <s v="Yes"/>
    <x v="0"/>
    <x v="1"/>
    <x v="0"/>
    <n v="30"/>
    <x v="0"/>
    <n v="20"/>
    <x v="0"/>
    <n v="3"/>
    <n v="62"/>
  </r>
  <r>
    <x v="2"/>
    <d v="2024-08-02T00:00:00"/>
    <x v="7"/>
    <s v="No"/>
    <x v="2"/>
    <x v="0"/>
    <x v="1"/>
    <s v="-"/>
    <x v="0"/>
    <n v="20"/>
    <x v="3"/>
    <n v="10"/>
    <n v="20"/>
  </r>
  <r>
    <x v="1"/>
    <d v="2024-08-03T00:00:00"/>
    <x v="7"/>
    <s v="Yes"/>
    <x v="1"/>
    <x v="2"/>
    <x v="1"/>
    <s v="-"/>
    <x v="1"/>
    <n v="0"/>
    <x v="1"/>
    <n v="0"/>
    <n v="5"/>
  </r>
  <r>
    <x v="0"/>
    <d v="2024-08-04T00:00:00"/>
    <x v="7"/>
    <s v="No"/>
    <x v="0"/>
    <x v="0"/>
    <x v="0"/>
    <n v="30"/>
    <x v="0"/>
    <n v="20"/>
    <x v="0"/>
    <n v="15"/>
    <n v="50"/>
  </r>
  <r>
    <x v="2"/>
    <d v="2024-08-05T00:00:00"/>
    <x v="7"/>
    <s v="Yes"/>
    <x v="2"/>
    <x v="1"/>
    <x v="1"/>
    <s v="-"/>
    <x v="0"/>
    <n v="20"/>
    <x v="3"/>
    <n v="15"/>
    <n v="15"/>
  </r>
  <r>
    <x v="1"/>
    <d v="2024-08-06T00:00:00"/>
    <x v="7"/>
    <s v="No"/>
    <x v="1"/>
    <x v="0"/>
    <x v="1"/>
    <s v="-"/>
    <x v="1"/>
    <n v="0"/>
    <x v="1"/>
    <n v="1"/>
    <n v="4"/>
  </r>
  <r>
    <x v="0"/>
    <d v="2024-08-07T00:00:00"/>
    <x v="7"/>
    <s v="Yes"/>
    <x v="0"/>
    <x v="2"/>
    <x v="0"/>
    <n v="30"/>
    <x v="0"/>
    <n v="20"/>
    <x v="0"/>
    <n v="7"/>
    <n v="58"/>
  </r>
  <r>
    <x v="2"/>
    <d v="2024-08-08T00:00:00"/>
    <x v="7"/>
    <s v="No"/>
    <x v="2"/>
    <x v="0"/>
    <x v="1"/>
    <s v="-"/>
    <x v="0"/>
    <n v="20"/>
    <x v="3"/>
    <n v="10"/>
    <n v="20"/>
  </r>
  <r>
    <x v="1"/>
    <d v="2024-08-09T00:00:00"/>
    <x v="7"/>
    <s v="Yes"/>
    <x v="1"/>
    <x v="1"/>
    <x v="1"/>
    <s v="-"/>
    <x v="1"/>
    <n v="0"/>
    <x v="1"/>
    <n v="0"/>
    <n v="5"/>
  </r>
  <r>
    <x v="0"/>
    <d v="2024-08-10T00:00:00"/>
    <x v="7"/>
    <s v="No"/>
    <x v="0"/>
    <x v="0"/>
    <x v="0"/>
    <n v="30"/>
    <x v="0"/>
    <n v="20"/>
    <x v="0"/>
    <n v="20"/>
    <n v="45"/>
  </r>
  <r>
    <x v="2"/>
    <d v="2024-08-10T00:00:00"/>
    <x v="7"/>
    <s v="Yes"/>
    <x v="2"/>
    <x v="2"/>
    <x v="0"/>
    <n v="30"/>
    <x v="1"/>
    <n v="0"/>
    <x v="2"/>
    <n v="12"/>
    <n v="28"/>
  </r>
  <r>
    <x v="2"/>
    <d v="2024-08-11T00:00:00"/>
    <x v="7"/>
    <s v="Yes"/>
    <x v="2"/>
    <x v="2"/>
    <x v="1"/>
    <s v="-"/>
    <x v="0"/>
    <n v="20"/>
    <x v="3"/>
    <n v="15"/>
    <n v="15"/>
  </r>
  <r>
    <x v="1"/>
    <d v="2024-08-12T00:00:00"/>
    <x v="7"/>
    <s v="No"/>
    <x v="1"/>
    <x v="0"/>
    <x v="1"/>
    <s v="-"/>
    <x v="1"/>
    <n v="0"/>
    <x v="1"/>
    <n v="1"/>
    <n v="4"/>
  </r>
  <r>
    <x v="0"/>
    <d v="2024-08-13T00:00:00"/>
    <x v="7"/>
    <s v="Yes"/>
    <x v="0"/>
    <x v="1"/>
    <x v="0"/>
    <n v="30"/>
    <x v="0"/>
    <n v="20"/>
    <x v="0"/>
    <n v="5"/>
    <n v="60"/>
  </r>
  <r>
    <x v="2"/>
    <d v="2024-08-14T00:00:00"/>
    <x v="7"/>
    <s v="No"/>
    <x v="2"/>
    <x v="0"/>
    <x v="1"/>
    <s v="-"/>
    <x v="0"/>
    <n v="20"/>
    <x v="3"/>
    <n v="10"/>
    <n v="20"/>
  </r>
  <r>
    <x v="1"/>
    <d v="2024-08-15T00:00:00"/>
    <x v="7"/>
    <s v="Yes"/>
    <x v="1"/>
    <x v="2"/>
    <x v="1"/>
    <s v="-"/>
    <x v="1"/>
    <n v="0"/>
    <x v="1"/>
    <n v="0"/>
    <n v="5"/>
  </r>
  <r>
    <x v="0"/>
    <d v="2024-08-16T00:00:00"/>
    <x v="7"/>
    <s v="No"/>
    <x v="0"/>
    <x v="0"/>
    <x v="0"/>
    <n v="30"/>
    <x v="0"/>
    <n v="20"/>
    <x v="0"/>
    <n v="3"/>
    <n v="62"/>
  </r>
  <r>
    <x v="1"/>
    <d v="2024-08-16T00:00:00"/>
    <x v="7"/>
    <s v="No"/>
    <x v="1"/>
    <x v="0"/>
    <x v="0"/>
    <n v="30"/>
    <x v="1"/>
    <n v="0"/>
    <x v="2"/>
    <n v="2"/>
    <n v="33"/>
  </r>
  <r>
    <x v="2"/>
    <d v="2024-08-17T00:00:00"/>
    <x v="7"/>
    <s v="Yes"/>
    <x v="2"/>
    <x v="1"/>
    <x v="1"/>
    <s v="-"/>
    <x v="0"/>
    <n v="20"/>
    <x v="3"/>
    <n v="15"/>
    <n v="15"/>
  </r>
  <r>
    <x v="1"/>
    <d v="2024-08-18T00:00:00"/>
    <x v="7"/>
    <s v="No"/>
    <x v="1"/>
    <x v="0"/>
    <x v="1"/>
    <s v="-"/>
    <x v="1"/>
    <n v="0"/>
    <x v="1"/>
    <n v="1"/>
    <n v="4"/>
  </r>
  <r>
    <x v="1"/>
    <d v="2024-08-19T00:00:00"/>
    <x v="7"/>
    <s v="Yes"/>
    <x v="1"/>
    <x v="0"/>
    <x v="1"/>
    <s v="-"/>
    <x v="1"/>
    <n v="0"/>
    <x v="1"/>
    <n v="0"/>
    <n v="5"/>
  </r>
  <r>
    <x v="0"/>
    <d v="2024-08-20T00:00:00"/>
    <x v="7"/>
    <s v="No"/>
    <x v="0"/>
    <x v="2"/>
    <x v="0"/>
    <n v="30"/>
    <x v="0"/>
    <n v="20"/>
    <x v="0"/>
    <n v="7"/>
    <n v="58"/>
  </r>
  <r>
    <x v="2"/>
    <d v="2024-08-20T00:00:00"/>
    <x v="7"/>
    <s v="No"/>
    <x v="2"/>
    <x v="0"/>
    <x v="0"/>
    <n v="30"/>
    <x v="1"/>
    <n v="0"/>
    <x v="2"/>
    <n v="10"/>
    <n v="30"/>
  </r>
  <r>
    <x v="2"/>
    <d v="2024-08-21T00:00:00"/>
    <x v="7"/>
    <s v="Yes"/>
    <x v="2"/>
    <x v="1"/>
    <x v="1"/>
    <s v="-"/>
    <x v="0"/>
    <n v="20"/>
    <x v="3"/>
    <n v="10"/>
    <n v="20"/>
  </r>
  <r>
    <x v="1"/>
    <d v="2024-08-22T00:00:00"/>
    <x v="7"/>
    <s v="No"/>
    <x v="1"/>
    <x v="2"/>
    <x v="1"/>
    <s v="-"/>
    <x v="1"/>
    <n v="0"/>
    <x v="1"/>
    <n v="1"/>
    <n v="4"/>
  </r>
  <r>
    <x v="0"/>
    <d v="2024-08-23T00:00:00"/>
    <x v="7"/>
    <s v="Yes"/>
    <x v="0"/>
    <x v="0"/>
    <x v="0"/>
    <n v="30"/>
    <x v="0"/>
    <n v="20"/>
    <x v="0"/>
    <n v="15"/>
    <n v="50"/>
  </r>
  <r>
    <x v="2"/>
    <d v="2024-08-24T00:00:00"/>
    <x v="7"/>
    <s v="No"/>
    <x v="2"/>
    <x v="0"/>
    <x v="1"/>
    <s v="-"/>
    <x v="0"/>
    <n v="20"/>
    <x v="3"/>
    <n v="5"/>
    <n v="25"/>
  </r>
  <r>
    <x v="1"/>
    <d v="2024-08-25T00:00:00"/>
    <x v="7"/>
    <s v="Yes"/>
    <x v="1"/>
    <x v="1"/>
    <x v="1"/>
    <s v="-"/>
    <x v="1"/>
    <n v="0"/>
    <x v="1"/>
    <n v="0"/>
    <n v="5"/>
  </r>
  <r>
    <x v="0"/>
    <d v="2024-08-26T00:00:00"/>
    <x v="7"/>
    <s v="No"/>
    <x v="0"/>
    <x v="2"/>
    <x v="0"/>
    <n v="30"/>
    <x v="0"/>
    <n v="20"/>
    <x v="0"/>
    <n v="20"/>
    <n v="45"/>
  </r>
  <r>
    <x v="2"/>
    <d v="2024-08-27T00:00:00"/>
    <x v="7"/>
    <s v="Yes"/>
    <x v="2"/>
    <x v="2"/>
    <x v="1"/>
    <s v="-"/>
    <x v="0"/>
    <n v="20"/>
    <x v="3"/>
    <n v="12"/>
    <n v="18"/>
  </r>
  <r>
    <x v="1"/>
    <d v="2024-08-28T00:00:00"/>
    <x v="7"/>
    <s v="No"/>
    <x v="1"/>
    <x v="0"/>
    <x v="1"/>
    <s v="-"/>
    <x v="1"/>
    <n v="0"/>
    <x v="1"/>
    <n v="2"/>
    <n v="3"/>
  </r>
  <r>
    <x v="0"/>
    <d v="2024-08-29T00:00:00"/>
    <x v="7"/>
    <s v="Yes"/>
    <x v="0"/>
    <x v="1"/>
    <x v="0"/>
    <n v="30"/>
    <x v="0"/>
    <n v="20"/>
    <x v="0"/>
    <n v="5"/>
    <n v="60"/>
  </r>
  <r>
    <x v="2"/>
    <d v="2024-08-30T00:00:00"/>
    <x v="7"/>
    <s v="No"/>
    <x v="2"/>
    <x v="0"/>
    <x v="1"/>
    <s v="-"/>
    <x v="0"/>
    <n v="20"/>
    <x v="3"/>
    <n v="10"/>
    <n v="20"/>
  </r>
  <r>
    <x v="1"/>
    <d v="2024-08-31T00:00:00"/>
    <x v="7"/>
    <s v="Yes"/>
    <x v="1"/>
    <x v="2"/>
    <x v="1"/>
    <s v="-"/>
    <x v="1"/>
    <n v="0"/>
    <x v="1"/>
    <n v="0"/>
    <n v="5"/>
  </r>
  <r>
    <x v="0"/>
    <d v="2024-09-01T00:00:00"/>
    <x v="8"/>
    <s v="No"/>
    <x v="0"/>
    <x v="0"/>
    <x v="0"/>
    <n v="30"/>
    <x v="0"/>
    <n v="20"/>
    <x v="0"/>
    <n v="3"/>
    <n v="62"/>
  </r>
  <r>
    <x v="2"/>
    <d v="2024-09-02T00:00:00"/>
    <x v="8"/>
    <s v="Yes"/>
    <x v="2"/>
    <x v="1"/>
    <x v="1"/>
    <s v="-"/>
    <x v="0"/>
    <n v="20"/>
    <x v="3"/>
    <n v="15"/>
    <n v="15"/>
  </r>
  <r>
    <x v="1"/>
    <d v="2024-09-03T00:00:00"/>
    <x v="8"/>
    <s v="No"/>
    <x v="1"/>
    <x v="0"/>
    <x v="1"/>
    <s v="-"/>
    <x v="1"/>
    <n v="0"/>
    <x v="1"/>
    <n v="1"/>
    <n v="4"/>
  </r>
  <r>
    <x v="0"/>
    <d v="2024-09-04T00:00:00"/>
    <x v="8"/>
    <s v="Yes"/>
    <x v="0"/>
    <x v="2"/>
    <x v="0"/>
    <n v="30"/>
    <x v="0"/>
    <n v="20"/>
    <x v="0"/>
    <n v="7"/>
    <n v="58"/>
  </r>
  <r>
    <x v="2"/>
    <d v="2024-09-05T00:00:00"/>
    <x v="8"/>
    <s v="No"/>
    <x v="2"/>
    <x v="0"/>
    <x v="1"/>
    <s v="-"/>
    <x v="0"/>
    <n v="20"/>
    <x v="3"/>
    <n v="10"/>
    <n v="20"/>
  </r>
  <r>
    <x v="1"/>
    <d v="2024-09-06T00:00:00"/>
    <x v="8"/>
    <s v="Yes"/>
    <x v="1"/>
    <x v="1"/>
    <x v="1"/>
    <s v="-"/>
    <x v="1"/>
    <n v="0"/>
    <x v="1"/>
    <n v="0"/>
    <n v="5"/>
  </r>
  <r>
    <x v="1"/>
    <d v="2024-09-06T00:00:00"/>
    <x v="8"/>
    <s v="Yes"/>
    <x v="1"/>
    <x v="2"/>
    <x v="0"/>
    <n v="30"/>
    <x v="1"/>
    <n v="0"/>
    <x v="2"/>
    <n v="0"/>
    <n v="35"/>
  </r>
  <r>
    <x v="0"/>
    <d v="2024-09-07T00:00:00"/>
    <x v="8"/>
    <s v="No"/>
    <x v="0"/>
    <x v="0"/>
    <x v="0"/>
    <n v="30"/>
    <x v="0"/>
    <n v="20"/>
    <x v="0"/>
    <n v="20"/>
    <n v="45"/>
  </r>
  <r>
    <x v="2"/>
    <d v="2024-09-08T00:00:00"/>
    <x v="8"/>
    <s v="Yes"/>
    <x v="2"/>
    <x v="2"/>
    <x v="1"/>
    <s v="-"/>
    <x v="0"/>
    <n v="20"/>
    <x v="3"/>
    <n v="15"/>
    <n v="15"/>
  </r>
  <r>
    <x v="1"/>
    <d v="2024-09-09T00:00:00"/>
    <x v="8"/>
    <s v="No"/>
    <x v="1"/>
    <x v="0"/>
    <x v="1"/>
    <s v="-"/>
    <x v="1"/>
    <n v="0"/>
    <x v="1"/>
    <n v="1"/>
    <n v="4"/>
  </r>
  <r>
    <x v="0"/>
    <d v="2024-09-10T00:00:00"/>
    <x v="8"/>
    <s v="Yes"/>
    <x v="0"/>
    <x v="1"/>
    <x v="0"/>
    <n v="30"/>
    <x v="0"/>
    <n v="20"/>
    <x v="0"/>
    <n v="3"/>
    <n v="62"/>
  </r>
  <r>
    <x v="2"/>
    <d v="2024-09-11T00:00:00"/>
    <x v="8"/>
    <s v="No"/>
    <x v="2"/>
    <x v="0"/>
    <x v="1"/>
    <s v="-"/>
    <x v="0"/>
    <n v="20"/>
    <x v="3"/>
    <n v="10"/>
    <n v="20"/>
  </r>
  <r>
    <x v="1"/>
    <d v="2024-09-12T00:00:00"/>
    <x v="8"/>
    <s v="Yes"/>
    <x v="1"/>
    <x v="2"/>
    <x v="1"/>
    <s v="-"/>
    <x v="1"/>
    <n v="0"/>
    <x v="1"/>
    <n v="0"/>
    <n v="5"/>
  </r>
  <r>
    <x v="0"/>
    <d v="2024-09-13T00:00:00"/>
    <x v="8"/>
    <s v="No"/>
    <x v="0"/>
    <x v="0"/>
    <x v="0"/>
    <n v="30"/>
    <x v="0"/>
    <n v="20"/>
    <x v="0"/>
    <n v="15"/>
    <n v="50"/>
  </r>
  <r>
    <x v="2"/>
    <d v="2024-09-14T00:00:00"/>
    <x v="8"/>
    <s v="Yes"/>
    <x v="2"/>
    <x v="1"/>
    <x v="1"/>
    <s v="-"/>
    <x v="0"/>
    <n v="20"/>
    <x v="3"/>
    <n v="15"/>
    <n v="15"/>
  </r>
  <r>
    <x v="2"/>
    <d v="2024-09-14T00:00:00"/>
    <x v="8"/>
    <s v="Yes"/>
    <x v="2"/>
    <x v="1"/>
    <x v="0"/>
    <n v="30"/>
    <x v="1"/>
    <n v="0"/>
    <x v="2"/>
    <n v="10"/>
    <n v="30"/>
  </r>
  <r>
    <x v="2"/>
    <d v="2024-09-14T00:00:00"/>
    <x v="8"/>
    <s v="No"/>
    <x v="2"/>
    <x v="0"/>
    <x v="0"/>
    <n v="30"/>
    <x v="1"/>
    <n v="0"/>
    <x v="2"/>
    <n v="5"/>
    <n v="35"/>
  </r>
  <r>
    <x v="1"/>
    <d v="2024-09-15T00:00:00"/>
    <x v="8"/>
    <s v="No"/>
    <x v="1"/>
    <x v="0"/>
    <x v="1"/>
    <s v="-"/>
    <x v="1"/>
    <n v="0"/>
    <x v="1"/>
    <n v="1"/>
    <n v="4"/>
  </r>
  <r>
    <x v="0"/>
    <d v="2024-09-16T00:00:00"/>
    <x v="8"/>
    <s v="Yes"/>
    <x v="0"/>
    <x v="2"/>
    <x v="0"/>
    <n v="30"/>
    <x v="0"/>
    <n v="20"/>
    <x v="0"/>
    <n v="7"/>
    <n v="58"/>
  </r>
  <r>
    <x v="2"/>
    <d v="2024-09-17T00:00:00"/>
    <x v="8"/>
    <s v="No"/>
    <x v="2"/>
    <x v="0"/>
    <x v="1"/>
    <s v="-"/>
    <x v="0"/>
    <n v="20"/>
    <x v="3"/>
    <n v="10"/>
    <n v="20"/>
  </r>
  <r>
    <x v="1"/>
    <d v="2024-09-18T00:00:00"/>
    <x v="8"/>
    <s v="Yes"/>
    <x v="1"/>
    <x v="0"/>
    <x v="1"/>
    <s v="-"/>
    <x v="1"/>
    <n v="0"/>
    <x v="1"/>
    <n v="0"/>
    <n v="5"/>
  </r>
  <r>
    <x v="0"/>
    <d v="2024-09-19T00:00:00"/>
    <x v="8"/>
    <s v="No"/>
    <x v="0"/>
    <x v="2"/>
    <x v="0"/>
    <n v="30"/>
    <x v="0"/>
    <n v="20"/>
    <x v="0"/>
    <n v="7"/>
    <n v="58"/>
  </r>
  <r>
    <x v="0"/>
    <d v="2024-09-19T00:00:00"/>
    <x v="8"/>
    <s v="Yes"/>
    <x v="0"/>
    <x v="2"/>
    <x v="0"/>
    <n v="30"/>
    <x v="1"/>
    <n v="0"/>
    <x v="2"/>
    <n v="7"/>
    <n v="38"/>
  </r>
  <r>
    <x v="2"/>
    <d v="2024-09-20T00:00:00"/>
    <x v="8"/>
    <s v="Yes"/>
    <x v="2"/>
    <x v="1"/>
    <x v="1"/>
    <s v="-"/>
    <x v="0"/>
    <n v="20"/>
    <x v="3"/>
    <n v="10"/>
    <n v="20"/>
  </r>
  <r>
    <x v="1"/>
    <d v="2024-09-21T00:00:00"/>
    <x v="8"/>
    <s v="No"/>
    <x v="1"/>
    <x v="2"/>
    <x v="1"/>
    <s v="-"/>
    <x v="1"/>
    <n v="0"/>
    <x v="1"/>
    <n v="1"/>
    <n v="4"/>
  </r>
  <r>
    <x v="1"/>
    <d v="2024-09-21T00:00:00"/>
    <x v="8"/>
    <s v="No"/>
    <x v="1"/>
    <x v="0"/>
    <x v="0"/>
    <n v="30"/>
    <x v="1"/>
    <n v="0"/>
    <x v="2"/>
    <n v="1"/>
    <n v="34"/>
  </r>
  <r>
    <x v="0"/>
    <d v="2024-09-22T00:00:00"/>
    <x v="8"/>
    <s v="Yes"/>
    <x v="0"/>
    <x v="0"/>
    <x v="0"/>
    <n v="30"/>
    <x v="0"/>
    <n v="20"/>
    <x v="0"/>
    <n v="15"/>
    <n v="50"/>
  </r>
  <r>
    <x v="2"/>
    <d v="2024-09-23T00:00:00"/>
    <x v="8"/>
    <s v="No"/>
    <x v="2"/>
    <x v="0"/>
    <x v="1"/>
    <s v="-"/>
    <x v="0"/>
    <n v="20"/>
    <x v="3"/>
    <n v="5"/>
    <n v="25"/>
  </r>
  <r>
    <x v="1"/>
    <d v="2024-09-24T00:00:00"/>
    <x v="8"/>
    <s v="Yes"/>
    <x v="1"/>
    <x v="1"/>
    <x v="1"/>
    <s v="-"/>
    <x v="1"/>
    <n v="0"/>
    <x v="1"/>
    <n v="0"/>
    <n v="5"/>
  </r>
  <r>
    <x v="0"/>
    <d v="2024-09-25T00:00:00"/>
    <x v="8"/>
    <s v="No"/>
    <x v="0"/>
    <x v="2"/>
    <x v="0"/>
    <n v="30"/>
    <x v="0"/>
    <n v="20"/>
    <x v="0"/>
    <n v="20"/>
    <n v="45"/>
  </r>
  <r>
    <x v="2"/>
    <d v="2024-09-26T00:00:00"/>
    <x v="8"/>
    <s v="Yes"/>
    <x v="2"/>
    <x v="2"/>
    <x v="1"/>
    <s v="-"/>
    <x v="0"/>
    <n v="20"/>
    <x v="3"/>
    <n v="12"/>
    <n v="18"/>
  </r>
  <r>
    <x v="1"/>
    <d v="2024-09-27T00:00:00"/>
    <x v="8"/>
    <s v="No"/>
    <x v="1"/>
    <x v="0"/>
    <x v="1"/>
    <s v="-"/>
    <x v="1"/>
    <n v="0"/>
    <x v="1"/>
    <n v="2"/>
    <n v="3"/>
  </r>
  <r>
    <x v="0"/>
    <d v="2024-09-28T00:00:00"/>
    <x v="8"/>
    <s v="Yes"/>
    <x v="0"/>
    <x v="1"/>
    <x v="0"/>
    <n v="30"/>
    <x v="0"/>
    <n v="20"/>
    <x v="0"/>
    <n v="5"/>
    <n v="60"/>
  </r>
  <r>
    <x v="2"/>
    <d v="2024-09-29T00:00:00"/>
    <x v="8"/>
    <s v="No"/>
    <x v="2"/>
    <x v="0"/>
    <x v="1"/>
    <s v="-"/>
    <x v="0"/>
    <n v="20"/>
    <x v="3"/>
    <n v="10"/>
    <n v="20"/>
  </r>
  <r>
    <x v="0"/>
    <d v="2024-09-29T00:00:00"/>
    <x v="8"/>
    <s v="No"/>
    <x v="0"/>
    <x v="0"/>
    <x v="0"/>
    <n v="30"/>
    <x v="1"/>
    <n v="0"/>
    <x v="2"/>
    <n v="20"/>
    <n v="25"/>
  </r>
  <r>
    <x v="1"/>
    <d v="2024-09-30T00:00:00"/>
    <x v="8"/>
    <s v="Yes"/>
    <x v="1"/>
    <x v="2"/>
    <x v="1"/>
    <s v="-"/>
    <x v="1"/>
    <n v="0"/>
    <x v="1"/>
    <n v="0"/>
    <n v="5"/>
  </r>
  <r>
    <x v="0"/>
    <d v="2024-10-01T00:00:00"/>
    <x v="9"/>
    <s v="No"/>
    <x v="0"/>
    <x v="0"/>
    <x v="0"/>
    <n v="30"/>
    <x v="0"/>
    <n v="20"/>
    <x v="0"/>
    <n v="3"/>
    <n v="62"/>
  </r>
  <r>
    <x v="1"/>
    <d v="2024-10-01T00:00:00"/>
    <x v="9"/>
    <s v="No"/>
    <x v="1"/>
    <x v="0"/>
    <x v="0"/>
    <n v="30"/>
    <x v="1"/>
    <n v="0"/>
    <x v="2"/>
    <n v="2"/>
    <n v="33"/>
  </r>
  <r>
    <x v="2"/>
    <d v="2024-10-02T00:00:00"/>
    <x v="9"/>
    <s v="Yes"/>
    <x v="2"/>
    <x v="1"/>
    <x v="1"/>
    <s v="-"/>
    <x v="0"/>
    <n v="20"/>
    <x v="3"/>
    <n v="15"/>
    <n v="15"/>
  </r>
  <r>
    <x v="1"/>
    <d v="2024-10-03T00:00:00"/>
    <x v="9"/>
    <s v="No"/>
    <x v="1"/>
    <x v="0"/>
    <x v="1"/>
    <s v="-"/>
    <x v="1"/>
    <n v="0"/>
    <x v="1"/>
    <n v="1"/>
    <n v="4"/>
  </r>
  <r>
    <x v="0"/>
    <d v="2024-10-04T00:00:00"/>
    <x v="9"/>
    <s v="Yes"/>
    <x v="0"/>
    <x v="2"/>
    <x v="0"/>
    <n v="30"/>
    <x v="0"/>
    <n v="20"/>
    <x v="0"/>
    <n v="7"/>
    <n v="58"/>
  </r>
  <r>
    <x v="2"/>
    <d v="2024-10-05T00:00:00"/>
    <x v="9"/>
    <s v="No"/>
    <x v="2"/>
    <x v="0"/>
    <x v="1"/>
    <s v="-"/>
    <x v="0"/>
    <n v="20"/>
    <x v="3"/>
    <n v="10"/>
    <n v="20"/>
  </r>
  <r>
    <x v="1"/>
    <d v="2024-10-06T00:00:00"/>
    <x v="9"/>
    <s v="Yes"/>
    <x v="1"/>
    <x v="1"/>
    <x v="1"/>
    <s v="-"/>
    <x v="1"/>
    <n v="0"/>
    <x v="1"/>
    <n v="0"/>
    <n v="5"/>
  </r>
  <r>
    <x v="0"/>
    <d v="2024-10-07T00:00:00"/>
    <x v="9"/>
    <s v="No"/>
    <x v="0"/>
    <x v="0"/>
    <x v="0"/>
    <n v="30"/>
    <x v="0"/>
    <n v="20"/>
    <x v="0"/>
    <n v="20"/>
    <n v="45"/>
  </r>
  <r>
    <x v="2"/>
    <d v="2024-10-08T00:00:00"/>
    <x v="9"/>
    <s v="Yes"/>
    <x v="2"/>
    <x v="2"/>
    <x v="1"/>
    <s v="-"/>
    <x v="0"/>
    <n v="20"/>
    <x v="3"/>
    <n v="15"/>
    <n v="15"/>
  </r>
  <r>
    <x v="1"/>
    <d v="2024-10-09T00:00:00"/>
    <x v="9"/>
    <s v="No"/>
    <x v="1"/>
    <x v="0"/>
    <x v="1"/>
    <s v="-"/>
    <x v="1"/>
    <n v="0"/>
    <x v="1"/>
    <n v="1"/>
    <n v="4"/>
  </r>
  <r>
    <x v="0"/>
    <d v="2024-10-10T00:00:00"/>
    <x v="9"/>
    <s v="Yes"/>
    <x v="0"/>
    <x v="1"/>
    <x v="0"/>
    <n v="30"/>
    <x v="0"/>
    <n v="20"/>
    <x v="0"/>
    <n v="3"/>
    <n v="62"/>
  </r>
  <r>
    <x v="2"/>
    <d v="2024-10-11T00:00:00"/>
    <x v="9"/>
    <s v="No"/>
    <x v="2"/>
    <x v="0"/>
    <x v="1"/>
    <s v="-"/>
    <x v="0"/>
    <n v="20"/>
    <x v="3"/>
    <n v="10"/>
    <n v="20"/>
  </r>
  <r>
    <x v="1"/>
    <d v="2024-10-12T00:00:00"/>
    <x v="9"/>
    <s v="Yes"/>
    <x v="1"/>
    <x v="2"/>
    <x v="1"/>
    <s v="-"/>
    <x v="1"/>
    <n v="0"/>
    <x v="1"/>
    <n v="0"/>
    <n v="5"/>
  </r>
  <r>
    <x v="0"/>
    <d v="2024-10-13T00:00:00"/>
    <x v="9"/>
    <s v="No"/>
    <x v="0"/>
    <x v="0"/>
    <x v="0"/>
    <n v="30"/>
    <x v="0"/>
    <n v="20"/>
    <x v="0"/>
    <n v="15"/>
    <n v="50"/>
  </r>
  <r>
    <x v="0"/>
    <d v="2024-10-13T00:00:00"/>
    <x v="9"/>
    <s v="Yes"/>
    <x v="0"/>
    <x v="1"/>
    <x v="0"/>
    <n v="30"/>
    <x v="1"/>
    <n v="0"/>
    <x v="2"/>
    <n v="3"/>
    <n v="42"/>
  </r>
  <r>
    <x v="2"/>
    <d v="2024-10-14T00:00:00"/>
    <x v="9"/>
    <s v="Yes"/>
    <x v="2"/>
    <x v="1"/>
    <x v="1"/>
    <s v="-"/>
    <x v="0"/>
    <n v="20"/>
    <x v="3"/>
    <n v="15"/>
    <n v="15"/>
  </r>
  <r>
    <x v="1"/>
    <d v="2024-10-15T00:00:00"/>
    <x v="9"/>
    <s v="No"/>
    <x v="1"/>
    <x v="0"/>
    <x v="1"/>
    <s v="-"/>
    <x v="1"/>
    <n v="0"/>
    <x v="1"/>
    <n v="1"/>
    <n v="4"/>
  </r>
  <r>
    <x v="0"/>
    <d v="2024-10-16T00:00:00"/>
    <x v="9"/>
    <s v="Yes"/>
    <x v="0"/>
    <x v="2"/>
    <x v="0"/>
    <n v="30"/>
    <x v="0"/>
    <n v="20"/>
    <x v="0"/>
    <n v="7"/>
    <n v="58"/>
  </r>
  <r>
    <x v="2"/>
    <d v="2024-10-17T00:00:00"/>
    <x v="9"/>
    <s v="No"/>
    <x v="2"/>
    <x v="0"/>
    <x v="1"/>
    <s v="-"/>
    <x v="0"/>
    <n v="20"/>
    <x v="3"/>
    <n v="10"/>
    <n v="20"/>
  </r>
  <r>
    <x v="1"/>
    <d v="2024-10-18T00:00:00"/>
    <x v="9"/>
    <s v="Yes"/>
    <x v="1"/>
    <x v="1"/>
    <x v="1"/>
    <s v="-"/>
    <x v="1"/>
    <n v="0"/>
    <x v="1"/>
    <n v="0"/>
    <n v="5"/>
  </r>
  <r>
    <x v="0"/>
    <d v="2024-10-19T00:00:00"/>
    <x v="9"/>
    <s v="No"/>
    <x v="0"/>
    <x v="0"/>
    <x v="0"/>
    <n v="30"/>
    <x v="0"/>
    <n v="20"/>
    <x v="0"/>
    <n v="15"/>
    <n v="50"/>
  </r>
  <r>
    <x v="2"/>
    <d v="2024-10-20T00:00:00"/>
    <x v="9"/>
    <s v="Yes"/>
    <x v="2"/>
    <x v="2"/>
    <x v="1"/>
    <s v="-"/>
    <x v="0"/>
    <n v="20"/>
    <x v="3"/>
    <n v="12"/>
    <n v="18"/>
  </r>
  <r>
    <x v="1"/>
    <d v="2024-10-21T00:00:00"/>
    <x v="9"/>
    <s v="No"/>
    <x v="1"/>
    <x v="0"/>
    <x v="1"/>
    <s v="-"/>
    <x v="1"/>
    <n v="0"/>
    <x v="1"/>
    <n v="2"/>
    <n v="3"/>
  </r>
  <r>
    <x v="0"/>
    <d v="2024-10-22T00:00:00"/>
    <x v="9"/>
    <s v="Yes"/>
    <x v="0"/>
    <x v="1"/>
    <x v="0"/>
    <n v="30"/>
    <x v="0"/>
    <n v="20"/>
    <x v="0"/>
    <n v="5"/>
    <n v="60"/>
  </r>
  <r>
    <x v="0"/>
    <d v="2024-10-22T00:00:00"/>
    <x v="9"/>
    <s v="Yes"/>
    <x v="0"/>
    <x v="0"/>
    <x v="0"/>
    <n v="30"/>
    <x v="1"/>
    <n v="0"/>
    <x v="2"/>
    <n v="15"/>
    <n v="30"/>
  </r>
  <r>
    <x v="2"/>
    <d v="2024-10-23T00:00:00"/>
    <x v="9"/>
    <s v="No"/>
    <x v="2"/>
    <x v="0"/>
    <x v="1"/>
    <s v="-"/>
    <x v="0"/>
    <n v="20"/>
    <x v="3"/>
    <n v="10"/>
    <n v="20"/>
  </r>
  <r>
    <x v="1"/>
    <d v="2024-10-24T00:00:00"/>
    <x v="9"/>
    <s v="Yes"/>
    <x v="1"/>
    <x v="2"/>
    <x v="1"/>
    <s v="-"/>
    <x v="1"/>
    <n v="0"/>
    <x v="1"/>
    <n v="0"/>
    <n v="5"/>
  </r>
  <r>
    <x v="0"/>
    <d v="2024-10-25T00:00:00"/>
    <x v="9"/>
    <s v="No"/>
    <x v="0"/>
    <x v="0"/>
    <x v="0"/>
    <n v="30"/>
    <x v="0"/>
    <n v="20"/>
    <x v="0"/>
    <n v="3"/>
    <n v="62"/>
  </r>
  <r>
    <x v="2"/>
    <d v="2024-10-26T00:00:00"/>
    <x v="9"/>
    <s v="Yes"/>
    <x v="2"/>
    <x v="1"/>
    <x v="1"/>
    <s v="-"/>
    <x v="0"/>
    <n v="20"/>
    <x v="3"/>
    <n v="15"/>
    <n v="15"/>
  </r>
  <r>
    <x v="1"/>
    <d v="2024-10-27T00:00:00"/>
    <x v="9"/>
    <s v="No"/>
    <x v="1"/>
    <x v="0"/>
    <x v="1"/>
    <s v="-"/>
    <x v="1"/>
    <n v="0"/>
    <x v="1"/>
    <n v="1"/>
    <n v="4"/>
  </r>
  <r>
    <x v="0"/>
    <d v="2024-10-28T00:00:00"/>
    <x v="9"/>
    <s v="Yes"/>
    <x v="0"/>
    <x v="2"/>
    <x v="0"/>
    <n v="30"/>
    <x v="0"/>
    <n v="20"/>
    <x v="0"/>
    <n v="7"/>
    <n v="58"/>
  </r>
  <r>
    <x v="2"/>
    <d v="2024-10-29T00:00:00"/>
    <x v="9"/>
    <s v="No"/>
    <x v="2"/>
    <x v="0"/>
    <x v="1"/>
    <s v="-"/>
    <x v="0"/>
    <n v="20"/>
    <x v="3"/>
    <n v="10"/>
    <n v="20"/>
  </r>
  <r>
    <x v="1"/>
    <d v="2024-10-30T00:00:00"/>
    <x v="9"/>
    <s v="Yes"/>
    <x v="1"/>
    <x v="1"/>
    <x v="1"/>
    <s v="-"/>
    <x v="1"/>
    <n v="0"/>
    <x v="1"/>
    <n v="0"/>
    <n v="5"/>
  </r>
  <r>
    <x v="2"/>
    <d v="2024-10-30T00:00:00"/>
    <x v="9"/>
    <s v="Yes"/>
    <x v="2"/>
    <x v="2"/>
    <x v="0"/>
    <n v="30"/>
    <x v="1"/>
    <n v="0"/>
    <x v="2"/>
    <n v="12"/>
    <n v="28"/>
  </r>
  <r>
    <x v="0"/>
    <d v="2024-10-31T00:00:00"/>
    <x v="9"/>
    <s v="No"/>
    <x v="0"/>
    <x v="0"/>
    <x v="0"/>
    <n v="30"/>
    <x v="0"/>
    <n v="20"/>
    <x v="0"/>
    <n v="20"/>
    <n v="45"/>
  </r>
  <r>
    <x v="2"/>
    <d v="2024-11-01T00:00:00"/>
    <x v="10"/>
    <s v="Yes"/>
    <x v="2"/>
    <x v="2"/>
    <x v="1"/>
    <s v="-"/>
    <x v="0"/>
    <n v="20"/>
    <x v="3"/>
    <n v="15"/>
    <n v="15"/>
  </r>
  <r>
    <x v="1"/>
    <d v="2024-11-02T00:00:00"/>
    <x v="10"/>
    <s v="No"/>
    <x v="1"/>
    <x v="0"/>
    <x v="1"/>
    <s v="-"/>
    <x v="1"/>
    <n v="0"/>
    <x v="1"/>
    <n v="1"/>
    <n v="4"/>
  </r>
  <r>
    <x v="0"/>
    <d v="2024-11-03T00:00:00"/>
    <x v="10"/>
    <s v="Yes"/>
    <x v="0"/>
    <x v="1"/>
    <x v="0"/>
    <n v="30"/>
    <x v="0"/>
    <n v="20"/>
    <x v="0"/>
    <n v="3"/>
    <n v="62"/>
  </r>
  <r>
    <x v="1"/>
    <d v="2024-11-03T00:00:00"/>
    <x v="10"/>
    <s v="No"/>
    <x v="1"/>
    <x v="2"/>
    <x v="0"/>
    <n v="30"/>
    <x v="1"/>
    <n v="0"/>
    <x v="2"/>
    <n v="1"/>
    <n v="34"/>
  </r>
  <r>
    <x v="2"/>
    <d v="2024-11-04T00:00:00"/>
    <x v="10"/>
    <s v="No"/>
    <x v="2"/>
    <x v="0"/>
    <x v="1"/>
    <s v="-"/>
    <x v="0"/>
    <n v="20"/>
    <x v="3"/>
    <n v="10"/>
    <n v="20"/>
  </r>
  <r>
    <x v="2"/>
    <d v="2024-11-04T00:00:00"/>
    <x v="10"/>
    <s v="Yes"/>
    <x v="2"/>
    <x v="1"/>
    <x v="0"/>
    <n v="30"/>
    <x v="1"/>
    <n v="0"/>
    <x v="2"/>
    <n v="15"/>
    <n v="25"/>
  </r>
  <r>
    <x v="1"/>
    <d v="2024-11-05T00:00:00"/>
    <x v="10"/>
    <s v="Yes"/>
    <x v="1"/>
    <x v="2"/>
    <x v="1"/>
    <s v="-"/>
    <x v="1"/>
    <n v="0"/>
    <x v="1"/>
    <n v="0"/>
    <n v="5"/>
  </r>
  <r>
    <x v="0"/>
    <d v="2024-11-06T00:00:00"/>
    <x v="10"/>
    <s v="No"/>
    <x v="0"/>
    <x v="0"/>
    <x v="0"/>
    <n v="30"/>
    <x v="0"/>
    <n v="20"/>
    <x v="0"/>
    <n v="15"/>
    <n v="50"/>
  </r>
  <r>
    <x v="1"/>
    <d v="2024-11-07T00:00:00"/>
    <x v="10"/>
    <s v="Yes"/>
    <x v="1"/>
    <x v="0"/>
    <x v="1"/>
    <s v="-"/>
    <x v="1"/>
    <n v="0"/>
    <x v="1"/>
    <n v="0"/>
    <n v="5"/>
  </r>
  <r>
    <x v="0"/>
    <d v="2024-11-08T00:00:00"/>
    <x v="10"/>
    <s v="No"/>
    <x v="0"/>
    <x v="2"/>
    <x v="0"/>
    <n v="30"/>
    <x v="0"/>
    <n v="20"/>
    <x v="0"/>
    <n v="7"/>
    <n v="58"/>
  </r>
  <r>
    <x v="2"/>
    <d v="2024-11-09T00:00:00"/>
    <x v="10"/>
    <s v="Yes"/>
    <x v="2"/>
    <x v="1"/>
    <x v="1"/>
    <s v="-"/>
    <x v="0"/>
    <n v="20"/>
    <x v="3"/>
    <n v="10"/>
    <n v="20"/>
  </r>
  <r>
    <x v="1"/>
    <d v="2024-11-10T00:00:00"/>
    <x v="10"/>
    <s v="No"/>
    <x v="1"/>
    <x v="2"/>
    <x v="1"/>
    <s v="-"/>
    <x v="1"/>
    <n v="0"/>
    <x v="1"/>
    <n v="1"/>
    <n v="4"/>
  </r>
  <r>
    <x v="0"/>
    <d v="2024-11-11T00:00:00"/>
    <x v="10"/>
    <s v="Yes"/>
    <x v="0"/>
    <x v="0"/>
    <x v="0"/>
    <n v="30"/>
    <x v="0"/>
    <n v="20"/>
    <x v="0"/>
    <n v="15"/>
    <n v="50"/>
  </r>
  <r>
    <x v="2"/>
    <d v="2024-11-12T00:00:00"/>
    <x v="10"/>
    <s v="No"/>
    <x v="2"/>
    <x v="0"/>
    <x v="1"/>
    <s v="-"/>
    <x v="0"/>
    <n v="20"/>
    <x v="3"/>
    <n v="5"/>
    <n v="25"/>
  </r>
  <r>
    <x v="1"/>
    <d v="2024-11-13T00:00:00"/>
    <x v="10"/>
    <s v="Yes"/>
    <x v="1"/>
    <x v="1"/>
    <x v="1"/>
    <s v="-"/>
    <x v="1"/>
    <n v="0"/>
    <x v="1"/>
    <n v="0"/>
    <n v="5"/>
  </r>
  <r>
    <x v="0"/>
    <d v="2024-11-14T00:00:00"/>
    <x v="10"/>
    <s v="No"/>
    <x v="0"/>
    <x v="2"/>
    <x v="0"/>
    <n v="30"/>
    <x v="0"/>
    <n v="20"/>
    <x v="0"/>
    <n v="20"/>
    <n v="45"/>
  </r>
  <r>
    <x v="2"/>
    <d v="2024-11-15T00:00:00"/>
    <x v="10"/>
    <s v="Yes"/>
    <x v="2"/>
    <x v="2"/>
    <x v="1"/>
    <s v="-"/>
    <x v="0"/>
    <n v="20"/>
    <x v="3"/>
    <n v="12"/>
    <n v="18"/>
  </r>
  <r>
    <x v="1"/>
    <d v="2024-11-16T00:00:00"/>
    <x v="10"/>
    <s v="No"/>
    <x v="1"/>
    <x v="0"/>
    <x v="1"/>
    <s v="-"/>
    <x v="1"/>
    <n v="0"/>
    <x v="1"/>
    <n v="2"/>
    <n v="3"/>
  </r>
  <r>
    <x v="0"/>
    <d v="2024-11-17T00:00:00"/>
    <x v="10"/>
    <s v="Yes"/>
    <x v="0"/>
    <x v="1"/>
    <x v="0"/>
    <n v="30"/>
    <x v="0"/>
    <n v="20"/>
    <x v="0"/>
    <n v="5"/>
    <n v="60"/>
  </r>
  <r>
    <x v="2"/>
    <d v="2024-11-18T00:00:00"/>
    <x v="10"/>
    <s v="No"/>
    <x v="2"/>
    <x v="0"/>
    <x v="1"/>
    <s v="-"/>
    <x v="0"/>
    <n v="20"/>
    <x v="3"/>
    <n v="10"/>
    <n v="20"/>
  </r>
  <r>
    <x v="1"/>
    <d v="2024-11-19T00:00:00"/>
    <x v="10"/>
    <s v="Yes"/>
    <x v="1"/>
    <x v="2"/>
    <x v="1"/>
    <s v="-"/>
    <x v="1"/>
    <n v="0"/>
    <x v="1"/>
    <n v="0"/>
    <n v="5"/>
  </r>
  <r>
    <x v="0"/>
    <d v="2024-11-20T00:00:00"/>
    <x v="10"/>
    <s v="No"/>
    <x v="0"/>
    <x v="0"/>
    <x v="0"/>
    <n v="30"/>
    <x v="0"/>
    <n v="20"/>
    <x v="0"/>
    <n v="3"/>
    <n v="62"/>
  </r>
  <r>
    <x v="2"/>
    <d v="2024-11-21T00:00:00"/>
    <x v="10"/>
    <s v="Yes"/>
    <x v="2"/>
    <x v="1"/>
    <x v="1"/>
    <s v="-"/>
    <x v="0"/>
    <n v="20"/>
    <x v="3"/>
    <n v="15"/>
    <n v="15"/>
  </r>
  <r>
    <x v="1"/>
    <d v="2024-11-22T00:00:00"/>
    <x v="10"/>
    <s v="No"/>
    <x v="1"/>
    <x v="0"/>
    <x v="1"/>
    <s v="-"/>
    <x v="1"/>
    <n v="0"/>
    <x v="1"/>
    <n v="1"/>
    <n v="4"/>
  </r>
  <r>
    <x v="0"/>
    <d v="2024-11-23T00:00:00"/>
    <x v="10"/>
    <s v="Yes"/>
    <x v="0"/>
    <x v="2"/>
    <x v="0"/>
    <n v="30"/>
    <x v="0"/>
    <n v="20"/>
    <x v="0"/>
    <n v="7"/>
    <n v="58"/>
  </r>
  <r>
    <x v="2"/>
    <d v="2024-11-24T00:00:00"/>
    <x v="10"/>
    <s v="No"/>
    <x v="2"/>
    <x v="0"/>
    <x v="1"/>
    <s v="-"/>
    <x v="0"/>
    <n v="20"/>
    <x v="3"/>
    <n v="10"/>
    <n v="20"/>
  </r>
  <r>
    <x v="1"/>
    <d v="2024-11-25T00:00:00"/>
    <x v="10"/>
    <s v="Yes"/>
    <x v="1"/>
    <x v="1"/>
    <x v="1"/>
    <s v="-"/>
    <x v="1"/>
    <n v="0"/>
    <x v="1"/>
    <n v="0"/>
    <n v="5"/>
  </r>
  <r>
    <x v="0"/>
    <d v="2024-11-26T00:00:00"/>
    <x v="10"/>
    <s v="No"/>
    <x v="0"/>
    <x v="0"/>
    <x v="0"/>
    <n v="30"/>
    <x v="0"/>
    <n v="20"/>
    <x v="0"/>
    <n v="20"/>
    <n v="45"/>
  </r>
  <r>
    <x v="1"/>
    <d v="2024-11-26T00:00:00"/>
    <x v="10"/>
    <s v="No"/>
    <x v="1"/>
    <x v="0"/>
    <x v="0"/>
    <n v="30"/>
    <x v="1"/>
    <n v="0"/>
    <x v="2"/>
    <n v="1"/>
    <n v="34"/>
  </r>
  <r>
    <x v="2"/>
    <d v="2024-11-27T00:00:00"/>
    <x v="10"/>
    <s v="Yes"/>
    <x v="2"/>
    <x v="2"/>
    <x v="1"/>
    <s v="-"/>
    <x v="0"/>
    <n v="20"/>
    <x v="3"/>
    <n v="15"/>
    <n v="15"/>
  </r>
  <r>
    <x v="2"/>
    <d v="2024-11-27T00:00:00"/>
    <x v="10"/>
    <s v="No"/>
    <x v="2"/>
    <x v="0"/>
    <x v="0"/>
    <n v="30"/>
    <x v="1"/>
    <n v="0"/>
    <x v="2"/>
    <n v="10"/>
    <n v="30"/>
  </r>
  <r>
    <x v="1"/>
    <d v="2024-11-28T00:00:00"/>
    <x v="10"/>
    <s v="No"/>
    <x v="1"/>
    <x v="0"/>
    <x v="1"/>
    <s v="-"/>
    <x v="1"/>
    <n v="0"/>
    <x v="1"/>
    <n v="1"/>
    <n v="4"/>
  </r>
  <r>
    <x v="0"/>
    <d v="2024-11-29T00:00:00"/>
    <x v="10"/>
    <s v="Yes"/>
    <x v="0"/>
    <x v="1"/>
    <x v="0"/>
    <n v="30"/>
    <x v="0"/>
    <n v="20"/>
    <x v="0"/>
    <n v="3"/>
    <n v="62"/>
  </r>
  <r>
    <x v="2"/>
    <d v="2024-11-30T00:00:00"/>
    <x v="10"/>
    <s v="No"/>
    <x v="2"/>
    <x v="0"/>
    <x v="1"/>
    <s v="-"/>
    <x v="0"/>
    <n v="20"/>
    <x v="3"/>
    <n v="10"/>
    <n v="20"/>
  </r>
  <r>
    <x v="1"/>
    <d v="2024-12-01T00:00:00"/>
    <x v="11"/>
    <s v="Yes"/>
    <x v="1"/>
    <x v="2"/>
    <x v="1"/>
    <s v="-"/>
    <x v="1"/>
    <n v="0"/>
    <x v="1"/>
    <n v="0"/>
    <n v="5"/>
  </r>
  <r>
    <x v="0"/>
    <d v="2024-12-02T00:00:00"/>
    <x v="11"/>
    <s v="No"/>
    <x v="0"/>
    <x v="0"/>
    <x v="0"/>
    <n v="30"/>
    <x v="0"/>
    <n v="20"/>
    <x v="0"/>
    <n v="15"/>
    <n v="50"/>
  </r>
  <r>
    <x v="2"/>
    <d v="2024-12-03T00:00:00"/>
    <x v="11"/>
    <s v="Yes"/>
    <x v="2"/>
    <x v="1"/>
    <x v="1"/>
    <s v="-"/>
    <x v="0"/>
    <n v="20"/>
    <x v="3"/>
    <n v="15"/>
    <n v="15"/>
  </r>
  <r>
    <x v="1"/>
    <d v="2024-12-04T00:00:00"/>
    <x v="11"/>
    <s v="No"/>
    <x v="1"/>
    <x v="0"/>
    <x v="1"/>
    <s v="-"/>
    <x v="1"/>
    <n v="0"/>
    <x v="1"/>
    <n v="1"/>
    <n v="4"/>
  </r>
  <r>
    <x v="0"/>
    <d v="2024-12-05T00:00:00"/>
    <x v="11"/>
    <s v="Yes"/>
    <x v="0"/>
    <x v="2"/>
    <x v="0"/>
    <n v="30"/>
    <x v="0"/>
    <n v="20"/>
    <x v="0"/>
    <n v="7"/>
    <n v="58"/>
  </r>
  <r>
    <x v="2"/>
    <d v="2024-12-06T00:00:00"/>
    <x v="11"/>
    <s v="No"/>
    <x v="2"/>
    <x v="0"/>
    <x v="1"/>
    <s v="-"/>
    <x v="0"/>
    <n v="20"/>
    <x v="3"/>
    <n v="10"/>
    <n v="20"/>
  </r>
  <r>
    <x v="1"/>
    <d v="2024-12-07T00:00:00"/>
    <x v="11"/>
    <s v="Yes"/>
    <x v="1"/>
    <x v="1"/>
    <x v="1"/>
    <s v="-"/>
    <x v="1"/>
    <n v="0"/>
    <x v="1"/>
    <n v="0"/>
    <n v="5"/>
  </r>
  <r>
    <x v="2"/>
    <d v="2024-12-07T00:00:00"/>
    <x v="11"/>
    <s v="Yes"/>
    <x v="2"/>
    <x v="2"/>
    <x v="0"/>
    <n v="30"/>
    <x v="1"/>
    <n v="0"/>
    <x v="2"/>
    <n v="15"/>
    <n v="25"/>
  </r>
  <r>
    <x v="0"/>
    <d v="2024-12-08T00:00:00"/>
    <x v="11"/>
    <s v="No"/>
    <x v="0"/>
    <x v="0"/>
    <x v="0"/>
    <n v="30"/>
    <x v="0"/>
    <n v="20"/>
    <x v="0"/>
    <n v="20"/>
    <n v="45"/>
  </r>
  <r>
    <x v="2"/>
    <d v="2024-12-09T00:00:00"/>
    <x v="11"/>
    <s v="Yes"/>
    <x v="2"/>
    <x v="2"/>
    <x v="1"/>
    <s v="-"/>
    <x v="0"/>
    <n v="20"/>
    <x v="3"/>
    <n v="12"/>
    <n v="18"/>
  </r>
  <r>
    <x v="1"/>
    <d v="2024-12-10T00:00:00"/>
    <x v="11"/>
    <s v="No"/>
    <x v="1"/>
    <x v="0"/>
    <x v="1"/>
    <s v="-"/>
    <x v="1"/>
    <n v="0"/>
    <x v="1"/>
    <n v="2"/>
    <n v="3"/>
  </r>
  <r>
    <x v="0"/>
    <d v="2024-12-11T00:00:00"/>
    <x v="11"/>
    <s v="Yes"/>
    <x v="0"/>
    <x v="1"/>
    <x v="0"/>
    <n v="30"/>
    <x v="0"/>
    <n v="20"/>
    <x v="0"/>
    <n v="5"/>
    <n v="60"/>
  </r>
  <r>
    <x v="2"/>
    <d v="2024-12-12T00:00:00"/>
    <x v="11"/>
    <s v="No"/>
    <x v="2"/>
    <x v="0"/>
    <x v="1"/>
    <s v="-"/>
    <x v="0"/>
    <n v="20"/>
    <x v="3"/>
    <n v="10"/>
    <n v="20"/>
  </r>
  <r>
    <x v="1"/>
    <d v="2024-12-13T00:00:00"/>
    <x v="11"/>
    <s v="Yes"/>
    <x v="1"/>
    <x v="2"/>
    <x v="1"/>
    <s v="-"/>
    <x v="1"/>
    <n v="0"/>
    <x v="1"/>
    <n v="0"/>
    <n v="5"/>
  </r>
  <r>
    <x v="0"/>
    <d v="2024-12-14T00:00:00"/>
    <x v="11"/>
    <s v="No"/>
    <x v="0"/>
    <x v="0"/>
    <x v="0"/>
    <n v="30"/>
    <x v="0"/>
    <n v="20"/>
    <x v="0"/>
    <n v="3"/>
    <n v="62"/>
  </r>
  <r>
    <x v="2"/>
    <d v="2024-12-15T00:00:00"/>
    <x v="11"/>
    <s v="Yes"/>
    <x v="2"/>
    <x v="1"/>
    <x v="1"/>
    <s v="-"/>
    <x v="0"/>
    <n v="20"/>
    <x v="3"/>
    <n v="15"/>
    <n v="15"/>
  </r>
  <r>
    <x v="1"/>
    <d v="2024-12-16T00:00:00"/>
    <x v="11"/>
    <s v="No"/>
    <x v="1"/>
    <x v="0"/>
    <x v="1"/>
    <s v="-"/>
    <x v="1"/>
    <n v="0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L29:M31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axis="axisRow" dataField="1" multipleItemSelectionAllowed="1" showAll="0">
      <items count="3">
        <item h="1" x="1"/>
        <item x="0"/>
        <item t="default"/>
      </items>
    </pivotField>
    <pivotField numFmtId="44" showAll="0"/>
    <pivotField showAll="0" defaultSubtotal="0"/>
    <pivotField numFmtId="44" showAll="0"/>
    <pivotField numFmtId="44" showAll="0"/>
  </pivotFields>
  <rowFields count="1">
    <field x="8"/>
  </rowFields>
  <rowItems count="2">
    <i>
      <x v="1"/>
    </i>
    <i t="grand">
      <x/>
    </i>
  </rowItems>
  <colItems count="1">
    <i/>
  </colItems>
  <pageFields count="2">
    <pageField fld="2" hier="-1"/>
    <pageField fld="5" hier="-1"/>
  </pageFields>
  <dataFields count="1">
    <dataField name="Contagem de Minecraft Season Pass" fld="8" subtotal="count" baseField="0" baseItem="0"/>
  </dataFields>
  <formats count="4"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C49:D53" firstHeaderRow="1" firstDataRow="1" firstDataCol="1" rowPageCount="1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numFmtId="4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ntagem de Subscription Type" fld="5" subtotal="count" baseField="0" baseItem="0"/>
  </dataFields>
  <formats count="7"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collapsedLevelsAreSubtotals="1" fieldPosition="0">
        <references count="1">
          <reference field="5" count="0"/>
        </references>
      </pivotArea>
    </format>
    <format dxfId="6">
      <pivotArea outline="0" collapsedLevelsAreSubtotals="1" fieldPosition="0"/>
    </format>
  </formats>
  <chartFormats count="4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9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C22:D24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44" showAll="0"/>
    <pivotField axis="axisPage" dataField="1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numFmtId="44" showAll="0"/>
  </pivotFields>
  <rowFields count="1">
    <field x="-2"/>
  </rowFields>
  <rowItems count="2">
    <i>
      <x/>
    </i>
    <i i="1">
      <x v="1"/>
    </i>
  </rowItems>
  <colItems count="1">
    <i/>
  </colItems>
  <pageFields count="2">
    <pageField fld="2" hier="-1"/>
    <pageField fld="5" hier="-1"/>
  </pageFields>
  <dataFields count="2">
    <dataField name="Contagem de Subscription Type" fld="5" subtotal="count" baseField="0" baseItem="0"/>
    <dataField name="Soma de Subscription Price2" fld="4" baseField="0" baseItem="0"/>
  </dataFields>
  <formats count="6"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collapsedLevelsAreSubtotals="1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2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H22:I25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dataField="1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dataField="1" numFmtId="44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pageFields count="2">
    <pageField fld="2" hier="-1"/>
    <pageField fld="5" hier="-1"/>
  </pageFields>
  <dataFields count="3">
    <dataField name="Quantidade de planos vendidos" fld="5" subtotal="count" baseField="0" baseItem="1192222400"/>
    <dataField name="Ticket Médio" fld="12" subtotal="average" baseField="0" baseItem="1192222400"/>
    <dataField name="Valor Total" fld="12" baseField="0" baseItem="1192222400"/>
  </dataFields>
  <formats count="4">
    <format dxfId="22">
      <pivotArea outline="0" collapsedLevelsAreSubtotals="1" fieldPosition="0"/>
    </format>
    <format dxfId="21">
      <pivotArea outline="0" collapsedLevelsAreSubtotals="1" fieldPosition="0"/>
    </format>
    <format dxfId="20">
      <pivotArea collapsedLevelsAreSubtotals="1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12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85:F90" firstHeaderRow="1" firstDataRow="1" firstDataCol="1" rowPageCount="1" colPageCount="1"/>
  <pivotFields count="13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Row" showAll="0" defaultSubtotal="0">
      <items count="5">
        <item m="1" x="4"/>
        <item x="0"/>
        <item x="2"/>
        <item x="3"/>
        <item x="1"/>
      </items>
    </pivotField>
    <pivotField numFmtId="44" showAll="0"/>
    <pivotField dataField="1" numFmtId="44"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oma de Total Value" fld="12" baseField="0" baseItem="0" numFmtId="44"/>
  </dataFields>
  <formats count="17">
    <format dxfId="39">
      <pivotArea outline="0" collapsedLevelsAreSubtotals="1" fieldPosition="0"/>
    </format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0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1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1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10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L58:M62" firstHeaderRow="1" firstDataRow="1" firstDataCol="1" rowPageCount="2" colPageCount="1"/>
  <pivotFields count="13">
    <pivotField axis="axisRow" showAll="0">
      <items count="4">
        <item x="1"/>
        <item x="2"/>
        <item x="0"/>
        <item t="default"/>
      </items>
    </pivotField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hier="-1"/>
    <pageField fld="5" hier="-1"/>
  </pageFields>
  <dataFields count="1">
    <dataField name="Soma de Subscription Price" fld="4" baseField="0" baseItem="0"/>
  </dataFields>
  <formats count="5"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outline="0" collapsedLevelsAreSubtotals="1" fieldPosition="0"/>
    </format>
    <format dxfId="40">
      <pivotArea outline="0" collapsedLevelsAreSubtotals="1" fieldPosition="0"/>
    </format>
  </formats>
  <chartFormats count="4"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8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C60:D64" firstHeaderRow="1" firstDataRow="1" firstDataCol="1" rowPageCount="1" colPageCount="1"/>
  <pivotFields count="13">
    <pivotField showAll="0">
      <items count="4">
        <item x="1"/>
        <item x="2"/>
        <item x="0"/>
        <item t="default"/>
      </items>
    </pivotField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numFmtId="4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oma de Subscription Price" fld="4" baseField="0" baseItem="0"/>
  </dataFields>
  <formats count="7"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outline="0" collapsedLevelsAreSubtotals="1" fieldPosition="0"/>
    </format>
    <format dxfId="46">
      <pivotArea collapsedLevelsAreSubtotals="1" fieldPosition="0">
        <references count="1">
          <reference field="5" count="0"/>
        </references>
      </pivotArea>
    </format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11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75:F80" firstHeaderRow="1" firstDataRow="1" firstDataCol="1" rowPageCount="1" colPageCount="1"/>
  <pivotFields count="13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Row" dataField="1" showAll="0" defaultSubtotal="0">
      <items count="5">
        <item m="1" x="4"/>
        <item x="0"/>
        <item x="2"/>
        <item x="3"/>
        <item x="1"/>
      </items>
    </pivotField>
    <pivotField numFmtId="44" showAll="0"/>
    <pivotField numFmtId="44"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Contagem de Pass Chosed" fld="10" subtotal="count" baseField="0" baseItem="0"/>
  </dataFields>
  <formats count="16"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0" type="button" dataOnly="0" labelOnly="1" outline="0" axis="axisRow" fieldPosition="0"/>
    </format>
    <format dxfId="62">
      <pivotArea dataOnly="0" labelOnly="1" outline="0" axis="axisValues" fieldPosition="0"/>
    </format>
    <format dxfId="61">
      <pivotArea dataOnly="0" labelOnly="1" fieldPosition="0">
        <references count="1">
          <reference field="10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0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labelOnly="1" fieldPosition="0">
        <references count="1">
          <reference field="1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ela dinâmica14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3">
  <location ref="L69:M73" firstHeaderRow="1" firstDataRow="1" firstDataCol="1" rowPageCount="2" colPageCount="1"/>
  <pivotFields count="13">
    <pivotField axis="axisRow" showAll="0" sortType="descending">
      <items count="4">
        <item x="0"/>
        <item x="2"/>
        <item x="1"/>
        <item t="default"/>
      </items>
    </pivotField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dataField="1" numFmtId="4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" hier="-1"/>
    <pageField fld="5" hier="-1"/>
  </pageFields>
  <dataFields count="1">
    <dataField name="Contagem de Total Value" fld="12" subtotal="count" baseField="0" baseItem="0"/>
  </dataFields>
  <formats count="6"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outline="0" collapsedLevelsAreSubtotals="1" fieldPosition="0"/>
    </format>
    <format dxfId="68">
      <pivotArea outline="0" collapsedLevelsAreSubtotals="1" fieldPosition="0"/>
    </format>
  </formats>
  <chartFormats count="5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L22:M24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axis="axisRow" dataField="1" showAll="0">
      <items count="3">
        <item h="1" x="1"/>
        <item x="0"/>
        <item t="default"/>
      </items>
    </pivotField>
    <pivotField showAll="0"/>
    <pivotField multipleItemSelectionAllowed="1" showAll="0"/>
    <pivotField numFmtId="44" showAll="0"/>
    <pivotField showAll="0" defaultSubtotal="0"/>
    <pivotField numFmtId="44" showAll="0"/>
    <pivotField numFmtId="44" showAll="0"/>
  </pivotFields>
  <rowFields count="1">
    <field x="6"/>
  </rowFields>
  <rowItems count="2">
    <i>
      <x v="1"/>
    </i>
    <i t="grand">
      <x/>
    </i>
  </rowItems>
  <colItems count="1">
    <i/>
  </colItems>
  <pageFields count="2">
    <pageField fld="2" hier="-1"/>
    <pageField fld="5" hier="-1"/>
  </pageFields>
  <dataFields count="1">
    <dataField name="Contagem de EA Play Season Pass" fld="6" subtotal="count" baseField="0" baseItem="0"/>
  </dataFields>
  <formats count="4"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L39:M41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3">
        <item h="1" x="1"/>
        <item x="0"/>
        <item t="default"/>
      </items>
    </pivotField>
    <pivotField dataField="1" showAll="0"/>
    <pivotField multipleItemSelectionAllowed="1" showAll="0"/>
    <pivotField numFmtId="44" showAll="0"/>
    <pivotField showAll="0" defaultSubtotal="0"/>
    <pivotField numFmtId="44" showAll="0"/>
    <pivotField numFmtId="44" showAll="0"/>
  </pivotFields>
  <rowFields count="1">
    <field x="6"/>
  </rowFields>
  <rowItems count="2">
    <i>
      <x v="1"/>
    </i>
    <i t="grand">
      <x/>
    </i>
  </rowItems>
  <colItems count="1">
    <i/>
  </colItems>
  <pageFields count="2">
    <pageField fld="2" hier="-1"/>
    <pageField fld="5" hier="-1"/>
  </pageFields>
  <dataFields count="1">
    <dataField name="Soma de EA Play Season Pass_Price" fld="7" baseField="6" baseItem="1" numFmtId="44"/>
  </dataFields>
  <formats count="5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dataOnly="0" labelOnly="1" outline="0" axis="axisValues" fieldPosition="0"/>
    </format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L47:M49" firstHeaderRow="1" firstDataRow="1" firstDataCol="1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axis="axisRow" multipleItemSelectionAllowed="1" showAll="0">
      <items count="3">
        <item h="1" x="1"/>
        <item x="0"/>
        <item t="default"/>
      </items>
    </pivotField>
    <pivotField dataField="1" numFmtId="44" showAll="0"/>
    <pivotField showAll="0" defaultSubtotal="0"/>
    <pivotField numFmtId="44" showAll="0"/>
    <pivotField numFmtId="44" showAll="0"/>
  </pivotFields>
  <rowFields count="1">
    <field x="8"/>
  </rowFields>
  <rowItems count="2">
    <i>
      <x v="1"/>
    </i>
    <i t="grand">
      <x/>
    </i>
  </rowItems>
  <colItems count="1">
    <i/>
  </colItems>
  <pageFields count="2">
    <pageField fld="2" hier="-1"/>
    <pageField fld="5" hier="-1"/>
  </pageFields>
  <dataFields count="1">
    <dataField name="Soma de Minecraft Season Pass Price" fld="9" baseField="0" baseItem="0"/>
  </dataFields>
  <formats count="5">
    <format dxfId="87">
      <pivotArea outline="0" collapsedLevelsAreSubtotals="1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H35:I48" firstHeaderRow="1" firstDataRow="1" firstDataCol="1" rowPageCount="1" colPageCount="1"/>
  <pivotFields count="13">
    <pivotField showAll="0"/>
    <pivotField numFmtId="1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numFmtId="44" showAll="0"/>
    <pivotField dataField="1" numFmtId="4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5" hier="-1"/>
  </pageFields>
  <dataFields count="1">
    <dataField name="Soma de Total Value" fld="12" baseField="0" baseItem="0" numFmtId="44"/>
  </dataFields>
  <formats count="1">
    <format dxfId="88">
      <pivotArea outline="0" collapsedLevelsAreSubtotals="1" fieldPosition="0"/>
    </format>
  </format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ela dinâmica13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E95:F100" firstHeaderRow="1" firstDataRow="1" firstDataCol="1" rowPageCount="1" colPageCount="1"/>
  <pivotFields count="13">
    <pivotField showAll="0"/>
    <pivotField numFmtId="1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axis="axisRow" showAll="0" defaultSubtotal="0">
      <items count="5">
        <item m="1" x="4"/>
        <item x="0"/>
        <item x="2"/>
        <item x="3"/>
        <item x="1"/>
      </items>
    </pivotField>
    <pivotField numFmtId="44" showAll="0"/>
    <pivotField dataField="1" numFmtId="44" showAll="0"/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Média de Total Value" fld="12" subtotal="average" baseField="10" baseItem="1" numFmtId="44"/>
  </dataFields>
  <formats count="17">
    <format dxfId="105">
      <pivotArea outline="0" collapsedLevelsAreSubtotals="1" fieldPosition="0"/>
    </format>
    <format dxfId="104">
      <pivotArea outline="0" collapsedLevelsAreSubtotals="1" fieldPosition="0"/>
    </format>
    <format dxfId="103">
      <pivotArea outline="0" collapsedLevelsAreSubtotals="1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0" type="button" dataOnly="0" labelOnly="1" outline="0" axis="axisRow" fieldPosition="0"/>
    </format>
    <format dxfId="99">
      <pivotArea dataOnly="0" labelOnly="1" outline="0" axis="axisValues" fieldPosition="0"/>
    </format>
    <format dxfId="98">
      <pivotArea dataOnly="0" labelOnly="1" fieldPosition="0">
        <references count="1">
          <reference field="10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0" type="button" dataOnly="0" labelOnly="1" outline="0" axis="axisRow" fieldPosition="0"/>
    </format>
    <format dxfId="92">
      <pivotArea dataOnly="0" labelOnly="1" outline="0" axis="axisValues" fieldPosition="0"/>
    </format>
    <format dxfId="91">
      <pivotArea dataOnly="0" labelOnly="1" fieldPosition="0">
        <references count="1">
          <reference field="10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ela dinâmica15" cacheId="0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C35:C36" firstHeaderRow="1" firstDataRow="1" firstDataCol="0" rowPageCount="2" colPageCount="1"/>
  <pivotFields count="13">
    <pivotField showAll="0"/>
    <pivotField numFmtId="1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showAll="0" defaultSubtotal="0"/>
    <pivotField dataField="1" numFmtId="44" showAll="0"/>
    <pivotField numFmtId="44" showAll="0"/>
  </pivotFields>
  <rowItems count="1">
    <i/>
  </rowItems>
  <colItems count="1">
    <i/>
  </colItems>
  <pageFields count="2">
    <pageField fld="2" hier="-1"/>
    <pageField fld="5" hier="-1"/>
  </pageFields>
  <dataFields count="1">
    <dataField name="Soma de Coupon Value" fld="11" baseField="0" baseItem="0"/>
  </dataFields>
  <formats count="4">
    <format dxfId="109">
      <pivotArea outline="0" collapsedLevelsAreSubtotals="1" fieldPosition="0"/>
    </format>
    <format dxfId="108">
      <pivotArea outline="0" collapsedLevelsAreSubtotals="1" fieldPosition="0"/>
    </format>
    <format dxfId="107">
      <pivotArea outline="0" collapsedLevelsAreSubtotals="1" fieldPosition="0"/>
    </format>
    <format dxfId="10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805d54f9-6d53-4246-bed7-4aa2da615923" connectionId="1" autoFormatId="16" applyNumberFormats="0" applyBorderFormats="0" applyFontFormats="0" applyPatternFormats="0" applyAlignmentFormats="0" applyWidthHeightFormats="0">
  <queryTableRefresh nextId="23">
    <queryTableFields count="13">
      <queryTableField id="3" name="Plan" tableColumnId="3"/>
      <queryTableField id="4" name="Start Date" tableColumnId="4"/>
      <queryTableField id="15" dataBound="0" tableColumnId="15"/>
      <queryTableField id="5" name="Auto Renewal" tableColumnId="5"/>
      <queryTableField id="6" name="Subscription Price" tableColumnId="6"/>
      <queryTableField id="7" name="Subscription Type" tableColumnId="7"/>
      <queryTableField id="8" name="EA Play Season Pass" tableColumnId="8"/>
      <queryTableField id="9" name="EA Play Season Pass_Price" tableColumnId="9"/>
      <queryTableField id="10" name="Minecraft Season Pass" tableColumnId="10"/>
      <queryTableField id="11" name="Minecraft Season Pass Price" tableColumnId="11"/>
      <queryTableField id="21" dataBound="0" tableColumnId="22"/>
      <queryTableField id="12" name="Coupon Value" tableColumnId="12"/>
      <queryTableField id="13" name="Total Value" tableColumnId="13"/>
    </queryTableFields>
    <queryTableDeletedFields count="2">
      <deletedField name="Subscriber ID"/>
      <deletedField name="Nam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5" name="Tabela dinâmica1"/>
    <pivotTable tabId="5" name="Tabela dinâmica10"/>
    <pivotTable tabId="5" name="Tabela dinâmica11"/>
    <pivotTable tabId="5" name="Tabela dinâmica12"/>
    <pivotTable tabId="5" name="Tabela dinâmica13"/>
    <pivotTable tabId="5" name="Tabela dinâmica14"/>
    <pivotTable tabId="5" name="Tabela dinâmica15"/>
    <pivotTable tabId="5" name="Tabela dinâmica2"/>
    <pivotTable tabId="5" name="Tabela dinâmica4"/>
    <pivotTable tabId="5" name="Tabela dinâmica5"/>
    <pivotTable tabId="5" name="Tabela dinâmica6"/>
    <pivotTable tabId="5" name="Tabela dinâmica7"/>
    <pivotTable tabId="5" name="Tabela dinâmica9"/>
  </pivotTables>
  <data>
    <tabular pivotCacheId="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tart_Month" sourceName="Start Month">
  <pivotTables>
    <pivotTable tabId="5" name="Tabela dinâmica9"/>
    <pivotTable tabId="5" name="Tabela dinâmica1"/>
    <pivotTable tabId="5" name="Tabela dinâmica10"/>
    <pivotTable tabId="5" name="Tabela dinâmica11"/>
    <pivotTable tabId="5" name="Tabela dinâmica12"/>
    <pivotTable tabId="5" name="Tabela dinâmica13"/>
    <pivotTable tabId="5" name="Tabela dinâmica14"/>
    <pivotTable tabId="5" name="Tabela dinâmica15"/>
    <pivotTable tabId="5" name="Tabela dinâmica2"/>
    <pivotTable tabId="5" name="Tabela dinâmica3"/>
    <pivotTable tabId="5" name="Tabela dinâmica5"/>
    <pivotTable tabId="5" name="Tabela dinâmica6"/>
    <pivotTable tabId="5" name="Tabela dinâmica7"/>
    <pivotTable tabId="5" name="Tabela dinâmica4"/>
    <pivotTable tabId="5" name="Tabela dinâmica8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Dark6 2" rowHeight="241300"/>
  <slicer name="Start Month" cache="SegmentaçãodeDados_Start_Month" caption="Start Month" style="SlicerStyleDark6 2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1" displayName="Tabela1" ref="A1:M296" totalsRowShown="0" dataDxfId="126">
  <autoFilter ref="A1:M296">
    <filterColumn colId="7">
      <filters>
        <filter val="Yes"/>
      </filters>
    </filterColumn>
  </autoFilter>
  <tableColumns count="13">
    <tableColumn id="1" name="Subscriber ID" dataDxfId="125"/>
    <tableColumn id="2" name="Name" dataDxfId="124"/>
    <tableColumn id="3" name="Plan" dataDxfId="123"/>
    <tableColumn id="4" name="Start Date" dataDxfId="122"/>
    <tableColumn id="5" name="Auto Renewal" dataDxfId="121"/>
    <tableColumn id="6" name="Subscription Price" dataDxfId="120" dataCellStyle="Moeda"/>
    <tableColumn id="7" name="Subscription Type" dataDxfId="119"/>
    <tableColumn id="8" name="EA Play Season Pass" dataDxfId="118"/>
    <tableColumn id="13" name="EA Play Season Pass_x000a_Price" dataDxfId="117" dataCellStyle="Moeda"/>
    <tableColumn id="9" name="Minecraft Season Pass" dataDxfId="116"/>
    <tableColumn id="10" name="Minecraft Season Pass Price" dataDxfId="115" dataCellStyle="Moeda"/>
    <tableColumn id="11" name="Coupon Value" dataDxfId="114" dataCellStyle="Moeda"/>
    <tableColumn id="12" name="Total Value" dataDxfId="11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bl_data" displayName="tbl_data" ref="A1:M336" tableType="queryTable" totalsRowShown="0">
  <autoFilter ref="A1:M336"/>
  <sortState ref="A2:M336">
    <sortCondition ref="B1:B336"/>
  </sortState>
  <tableColumns count="13">
    <tableColumn id="3" uniqueName="3" name="Plan" queryTableFieldId="3"/>
    <tableColumn id="4" uniqueName="4" name="Start Date" queryTableFieldId="4" dataDxfId="112"/>
    <tableColumn id="15" uniqueName="15" name="Start Month" queryTableFieldId="15" dataDxfId="111" dataCellStyle="Moeda"/>
    <tableColumn id="5" uniqueName="5" name="Auto Renewal" queryTableFieldId="5"/>
    <tableColumn id="6" uniqueName="6" name="Subscription Price" queryTableFieldId="6" dataCellStyle="Moeda"/>
    <tableColumn id="7" uniqueName="7" name="Subscription Type" queryTableFieldId="7"/>
    <tableColumn id="8" uniqueName="8" name="EA Play Season Pass" queryTableFieldId="8"/>
    <tableColumn id="9" uniqueName="9" name="EA Play Season Pass_Price" queryTableFieldId="9" dataCellStyle="Moeda"/>
    <tableColumn id="10" uniqueName="10" name="Minecraft Season Pass" queryTableFieldId="10"/>
    <tableColumn id="11" uniqueName="11" name="Minecraft Season Pass Price" queryTableFieldId="11" dataCellStyle="Moeda"/>
    <tableColumn id="22" uniqueName="22" name="Pass Chosed" queryTableFieldId="21" dataDxfId="110" dataCellStyle="Moeda"/>
    <tableColumn id="12" uniqueName="12" name="Coupon Value" queryTableFieldId="12" dataCellStyle="Moeda"/>
    <tableColumn id="13" uniqueName="13" name="Total Value" queryTableFieldId="13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Normal="100" workbookViewId="0">
      <selection activeCell="F53" sqref="F5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F53" sqref="F5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R336"/>
  <sheetViews>
    <sheetView showGridLines="0" zoomScale="70" zoomScaleNormal="70" workbookViewId="0">
      <selection activeCell="F53" sqref="F53"/>
    </sheetView>
  </sheetViews>
  <sheetFormatPr defaultRowHeight="14.25"/>
  <cols>
    <col min="1" max="1" width="16.375" customWidth="1"/>
    <col min="2" max="3" width="18.25" customWidth="1"/>
    <col min="4" max="4" width="14" customWidth="1"/>
    <col min="5" max="5" width="18.375" customWidth="1"/>
    <col min="6" max="6" width="14.375" customWidth="1"/>
    <col min="7" max="8" width="17.125" customWidth="1"/>
    <col min="9" max="9" width="16.125" customWidth="1"/>
    <col min="10" max="10" width="27.375" bestFit="1" customWidth="1"/>
    <col min="11" max="11" width="27.375" customWidth="1"/>
    <col min="12" max="12" width="23.5" bestFit="1" customWidth="1"/>
    <col min="13" max="13" width="28.75" bestFit="1" customWidth="1"/>
    <col min="14" max="14" width="15.625" bestFit="1" customWidth="1"/>
    <col min="15" max="15" width="12.125" bestFit="1" customWidth="1"/>
  </cols>
  <sheetData>
    <row r="1" spans="1:18">
      <c r="A1" s="13" t="s">
        <v>13</v>
      </c>
      <c r="B1" s="13" t="s">
        <v>14</v>
      </c>
      <c r="C1" s="13" t="s">
        <v>326</v>
      </c>
      <c r="D1" t="s">
        <v>15</v>
      </c>
      <c r="E1" s="15" t="s">
        <v>312</v>
      </c>
      <c r="F1" s="13" t="s">
        <v>16</v>
      </c>
      <c r="G1" s="13" t="s">
        <v>309</v>
      </c>
      <c r="H1" s="15" t="s">
        <v>313</v>
      </c>
      <c r="I1" s="13" t="s">
        <v>30</v>
      </c>
      <c r="J1" s="15" t="s">
        <v>31</v>
      </c>
      <c r="K1" s="13" t="s">
        <v>344</v>
      </c>
      <c r="L1" s="15" t="s">
        <v>32</v>
      </c>
      <c r="M1" s="15" t="s">
        <v>33</v>
      </c>
    </row>
    <row r="2" spans="1:18">
      <c r="A2" t="s">
        <v>18</v>
      </c>
      <c r="B2" s="12">
        <v>45292</v>
      </c>
      <c r="C2" s="17" t="s">
        <v>314</v>
      </c>
      <c r="D2" t="s">
        <v>19</v>
      </c>
      <c r="E2" s="16">
        <v>15</v>
      </c>
      <c r="F2" t="s">
        <v>20</v>
      </c>
      <c r="G2" t="s">
        <v>19</v>
      </c>
      <c r="H2" s="16">
        <v>30</v>
      </c>
      <c r="I2" t="s">
        <v>19</v>
      </c>
      <c r="J2" s="16">
        <v>20</v>
      </c>
      <c r="K2" s="24" t="s">
        <v>337</v>
      </c>
      <c r="L2" s="16">
        <v>5</v>
      </c>
      <c r="M2" s="16">
        <v>60</v>
      </c>
      <c r="N2">
        <v>1</v>
      </c>
      <c r="O2" t="s">
        <v>314</v>
      </c>
    </row>
    <row r="3" spans="1:18">
      <c r="A3" t="s">
        <v>22</v>
      </c>
      <c r="B3" s="12">
        <v>45306</v>
      </c>
      <c r="C3" s="17" t="s">
        <v>314</v>
      </c>
      <c r="D3" t="s">
        <v>23</v>
      </c>
      <c r="E3" s="16">
        <v>5</v>
      </c>
      <c r="F3" t="s">
        <v>24</v>
      </c>
      <c r="G3" t="s">
        <v>23</v>
      </c>
      <c r="H3" s="16" t="s">
        <v>311</v>
      </c>
      <c r="I3" t="s">
        <v>23</v>
      </c>
      <c r="J3" s="16">
        <v>0</v>
      </c>
      <c r="K3" s="24" t="s">
        <v>346</v>
      </c>
      <c r="L3" s="16">
        <v>0</v>
      </c>
      <c r="M3" s="16">
        <v>5</v>
      </c>
      <c r="N3">
        <v>2</v>
      </c>
      <c r="O3" t="s">
        <v>315</v>
      </c>
    </row>
    <row r="4" spans="1:18">
      <c r="A4" t="s">
        <v>22</v>
      </c>
      <c r="B4" s="12">
        <v>45308</v>
      </c>
      <c r="C4" s="17" t="s">
        <v>314</v>
      </c>
      <c r="D4" t="s">
        <v>23</v>
      </c>
      <c r="E4" s="16">
        <v>5</v>
      </c>
      <c r="F4" t="s">
        <v>20</v>
      </c>
      <c r="G4" t="s">
        <v>19</v>
      </c>
      <c r="H4" s="16">
        <v>30</v>
      </c>
      <c r="I4" t="s">
        <v>23</v>
      </c>
      <c r="J4" s="16">
        <v>0</v>
      </c>
      <c r="K4" s="24" t="s">
        <v>338</v>
      </c>
      <c r="L4" s="16">
        <v>1</v>
      </c>
      <c r="M4" s="16">
        <f>SUM(E4,H4,J4)-tbl_data[[#This Row],[Coupon Value]]</f>
        <v>34</v>
      </c>
      <c r="N4">
        <v>3</v>
      </c>
      <c r="O4" t="s">
        <v>316</v>
      </c>
      <c r="Q4" t="s">
        <v>19</v>
      </c>
      <c r="R4">
        <v>3</v>
      </c>
    </row>
    <row r="5" spans="1:18">
      <c r="A5" t="s">
        <v>26</v>
      </c>
      <c r="B5" s="12">
        <v>45313</v>
      </c>
      <c r="C5" s="17" t="s">
        <v>314</v>
      </c>
      <c r="D5" t="s">
        <v>19</v>
      </c>
      <c r="E5" s="16">
        <v>10</v>
      </c>
      <c r="F5" t="s">
        <v>24</v>
      </c>
      <c r="G5" t="s">
        <v>19</v>
      </c>
      <c r="H5" s="16">
        <v>30</v>
      </c>
      <c r="I5" t="s">
        <v>23</v>
      </c>
      <c r="J5" s="16">
        <v>0</v>
      </c>
      <c r="K5" s="24" t="s">
        <v>338</v>
      </c>
      <c r="L5" s="16">
        <v>15</v>
      </c>
      <c r="M5" s="16">
        <f>SUM(E5,H5,J5)-tbl_data[[#This Row],[Coupon Value]]</f>
        <v>25</v>
      </c>
      <c r="N5">
        <v>4</v>
      </c>
      <c r="O5" t="s">
        <v>317</v>
      </c>
      <c r="Q5" t="s">
        <v>23</v>
      </c>
      <c r="R5">
        <v>0</v>
      </c>
    </row>
    <row r="6" spans="1:18">
      <c r="A6" t="s">
        <v>18</v>
      </c>
      <c r="B6" s="12">
        <v>45325</v>
      </c>
      <c r="C6" s="17" t="s">
        <v>315</v>
      </c>
      <c r="D6" t="s">
        <v>23</v>
      </c>
      <c r="E6" s="16">
        <v>15</v>
      </c>
      <c r="F6" t="s">
        <v>27</v>
      </c>
      <c r="G6" t="s">
        <v>19</v>
      </c>
      <c r="H6" s="16">
        <v>30</v>
      </c>
      <c r="I6" t="s">
        <v>23</v>
      </c>
      <c r="J6" s="16">
        <v>0</v>
      </c>
      <c r="K6" s="24" t="s">
        <v>338</v>
      </c>
      <c r="L6" s="16">
        <v>20</v>
      </c>
      <c r="M6" s="16">
        <f>SUM(E6,H6,J6)-tbl_data[[#This Row],[Coupon Value]]</f>
        <v>25</v>
      </c>
      <c r="N6">
        <v>5</v>
      </c>
      <c r="O6" t="s">
        <v>318</v>
      </c>
    </row>
    <row r="7" spans="1:18">
      <c r="A7" t="s">
        <v>26</v>
      </c>
      <c r="B7" s="12">
        <v>45332</v>
      </c>
      <c r="C7" s="17" t="s">
        <v>315</v>
      </c>
      <c r="D7" t="s">
        <v>19</v>
      </c>
      <c r="E7" s="16">
        <v>10</v>
      </c>
      <c r="F7" t="s">
        <v>27</v>
      </c>
      <c r="G7" t="s">
        <v>23</v>
      </c>
      <c r="H7" s="16" t="s">
        <v>311</v>
      </c>
      <c r="I7" t="s">
        <v>19</v>
      </c>
      <c r="J7" s="16">
        <v>20</v>
      </c>
      <c r="K7" s="24" t="s">
        <v>336</v>
      </c>
      <c r="L7" s="16">
        <v>10</v>
      </c>
      <c r="M7" s="16">
        <v>20</v>
      </c>
      <c r="N7">
        <v>6</v>
      </c>
      <c r="O7" t="s">
        <v>319</v>
      </c>
      <c r="Q7" t="s">
        <v>19</v>
      </c>
      <c r="R7">
        <v>4</v>
      </c>
    </row>
    <row r="8" spans="1:18">
      <c r="A8" t="s">
        <v>18</v>
      </c>
      <c r="B8" s="12">
        <v>45342</v>
      </c>
      <c r="C8" s="17" t="s">
        <v>315</v>
      </c>
      <c r="D8" t="s">
        <v>23</v>
      </c>
      <c r="E8" s="16">
        <v>15</v>
      </c>
      <c r="F8" t="s">
        <v>20</v>
      </c>
      <c r="G8" t="s">
        <v>19</v>
      </c>
      <c r="H8" s="16">
        <v>30</v>
      </c>
      <c r="I8" t="s">
        <v>19</v>
      </c>
      <c r="J8" s="16">
        <v>20</v>
      </c>
      <c r="K8" s="24" t="s">
        <v>337</v>
      </c>
      <c r="L8" s="16">
        <v>3</v>
      </c>
      <c r="M8" s="16">
        <v>62</v>
      </c>
      <c r="N8">
        <v>7</v>
      </c>
      <c r="O8" t="s">
        <v>320</v>
      </c>
      <c r="Q8" t="s">
        <v>23</v>
      </c>
      <c r="R8">
        <v>0</v>
      </c>
    </row>
    <row r="9" spans="1:18">
      <c r="A9" t="s">
        <v>26</v>
      </c>
      <c r="B9" s="12">
        <v>45353</v>
      </c>
      <c r="C9" s="17" t="s">
        <v>316</v>
      </c>
      <c r="D9" t="s">
        <v>23</v>
      </c>
      <c r="E9" s="16">
        <v>10</v>
      </c>
      <c r="F9" t="s">
        <v>20</v>
      </c>
      <c r="G9" t="s">
        <v>23</v>
      </c>
      <c r="H9" s="16" t="s">
        <v>311</v>
      </c>
      <c r="I9" t="s">
        <v>19</v>
      </c>
      <c r="J9" s="16">
        <v>20</v>
      </c>
      <c r="K9" s="24" t="s">
        <v>336</v>
      </c>
      <c r="L9" s="16">
        <v>2</v>
      </c>
      <c r="M9" s="16">
        <v>28</v>
      </c>
      <c r="N9">
        <v>8</v>
      </c>
      <c r="O9" t="s">
        <v>321</v>
      </c>
    </row>
    <row r="10" spans="1:18">
      <c r="A10" t="s">
        <v>18</v>
      </c>
      <c r="B10" s="12">
        <v>45354</v>
      </c>
      <c r="C10" s="17" t="s">
        <v>316</v>
      </c>
      <c r="D10" t="s">
        <v>19</v>
      </c>
      <c r="E10" s="16">
        <v>15</v>
      </c>
      <c r="F10" t="s">
        <v>27</v>
      </c>
      <c r="G10" t="s">
        <v>19</v>
      </c>
      <c r="H10" s="16">
        <v>30</v>
      </c>
      <c r="I10" t="s">
        <v>19</v>
      </c>
      <c r="J10" s="16">
        <v>20</v>
      </c>
      <c r="K10" s="24" t="s">
        <v>337</v>
      </c>
      <c r="L10" s="16">
        <v>10</v>
      </c>
      <c r="M10" s="16">
        <v>55</v>
      </c>
      <c r="N10">
        <v>9</v>
      </c>
      <c r="O10" t="s">
        <v>322</v>
      </c>
    </row>
    <row r="11" spans="1:18">
      <c r="A11" t="s">
        <v>22</v>
      </c>
      <c r="B11" s="12">
        <v>45355</v>
      </c>
      <c r="C11" s="17" t="s">
        <v>316</v>
      </c>
      <c r="D11" t="s">
        <v>19</v>
      </c>
      <c r="E11" s="16">
        <v>5</v>
      </c>
      <c r="F11" t="s">
        <v>24</v>
      </c>
      <c r="G11" t="s">
        <v>23</v>
      </c>
      <c r="H11" s="16" t="s">
        <v>311</v>
      </c>
      <c r="I11" t="s">
        <v>23</v>
      </c>
      <c r="J11" s="16">
        <v>0</v>
      </c>
      <c r="K11" s="24" t="s">
        <v>346</v>
      </c>
      <c r="L11" s="16">
        <v>0</v>
      </c>
      <c r="M11" s="16">
        <v>5</v>
      </c>
      <c r="N11">
        <v>10</v>
      </c>
      <c r="O11" t="s">
        <v>323</v>
      </c>
    </row>
    <row r="12" spans="1:18">
      <c r="A12" t="s">
        <v>22</v>
      </c>
      <c r="B12" s="12">
        <v>45356</v>
      </c>
      <c r="C12" s="17" t="s">
        <v>316</v>
      </c>
      <c r="D12" t="s">
        <v>19</v>
      </c>
      <c r="E12" s="16">
        <v>5</v>
      </c>
      <c r="F12" t="s">
        <v>20</v>
      </c>
      <c r="G12" t="s">
        <v>23</v>
      </c>
      <c r="H12" s="16" t="s">
        <v>311</v>
      </c>
      <c r="I12" t="s">
        <v>23</v>
      </c>
      <c r="J12" s="16">
        <v>0</v>
      </c>
      <c r="K12" s="24" t="s">
        <v>346</v>
      </c>
      <c r="L12" s="16">
        <v>1</v>
      </c>
      <c r="M12" s="16">
        <v>4</v>
      </c>
      <c r="N12">
        <v>11</v>
      </c>
      <c r="O12" t="s">
        <v>324</v>
      </c>
    </row>
    <row r="13" spans="1:18">
      <c r="A13" t="s">
        <v>18</v>
      </c>
      <c r="B13" s="12">
        <v>45356</v>
      </c>
      <c r="C13" s="17" t="s">
        <v>316</v>
      </c>
      <c r="D13" t="s">
        <v>23</v>
      </c>
      <c r="E13" s="16">
        <v>15</v>
      </c>
      <c r="F13" t="s">
        <v>20</v>
      </c>
      <c r="G13" t="s">
        <v>19</v>
      </c>
      <c r="H13" s="16">
        <v>30</v>
      </c>
      <c r="I13" t="s">
        <v>19</v>
      </c>
      <c r="J13" s="16">
        <v>20</v>
      </c>
      <c r="K13" s="24" t="s">
        <v>337</v>
      </c>
      <c r="L13" s="16">
        <v>5</v>
      </c>
      <c r="M13" s="16">
        <v>60</v>
      </c>
      <c r="N13">
        <v>12</v>
      </c>
      <c r="O13" t="s">
        <v>325</v>
      </c>
    </row>
    <row r="14" spans="1:18">
      <c r="A14" t="s">
        <v>26</v>
      </c>
      <c r="B14" s="12">
        <v>45357</v>
      </c>
      <c r="C14" s="17" t="s">
        <v>316</v>
      </c>
      <c r="D14" t="s">
        <v>19</v>
      </c>
      <c r="E14" s="16">
        <v>10</v>
      </c>
      <c r="F14" t="s">
        <v>27</v>
      </c>
      <c r="G14" t="s">
        <v>23</v>
      </c>
      <c r="H14" s="16" t="s">
        <v>311</v>
      </c>
      <c r="I14" t="s">
        <v>19</v>
      </c>
      <c r="J14" s="16">
        <v>20</v>
      </c>
      <c r="K14" s="24" t="s">
        <v>336</v>
      </c>
      <c r="L14" s="16">
        <v>15</v>
      </c>
      <c r="M14" s="16">
        <v>15</v>
      </c>
    </row>
    <row r="15" spans="1:18">
      <c r="A15" t="s">
        <v>22</v>
      </c>
      <c r="B15" s="12">
        <v>45358</v>
      </c>
      <c r="C15" s="17" t="s">
        <v>316</v>
      </c>
      <c r="D15" t="s">
        <v>23</v>
      </c>
      <c r="E15" s="16">
        <v>5</v>
      </c>
      <c r="F15" t="s">
        <v>20</v>
      </c>
      <c r="G15" t="s">
        <v>23</v>
      </c>
      <c r="H15" s="16" t="s">
        <v>311</v>
      </c>
      <c r="I15" t="s">
        <v>23</v>
      </c>
      <c r="J15" s="16">
        <v>0</v>
      </c>
      <c r="K15" s="24" t="s">
        <v>346</v>
      </c>
      <c r="L15" s="16">
        <v>1</v>
      </c>
      <c r="M15" s="16">
        <v>4</v>
      </c>
    </row>
    <row r="16" spans="1:18">
      <c r="A16" t="s">
        <v>18</v>
      </c>
      <c r="B16" s="12">
        <v>45359</v>
      </c>
      <c r="C16" s="17" t="s">
        <v>316</v>
      </c>
      <c r="D16" t="s">
        <v>19</v>
      </c>
      <c r="E16" s="16">
        <v>15</v>
      </c>
      <c r="F16" t="s">
        <v>24</v>
      </c>
      <c r="G16" t="s">
        <v>19</v>
      </c>
      <c r="H16" s="16">
        <v>30</v>
      </c>
      <c r="I16" t="s">
        <v>19</v>
      </c>
      <c r="J16" s="16">
        <v>20</v>
      </c>
      <c r="K16" s="24" t="s">
        <v>337</v>
      </c>
      <c r="L16" s="16">
        <v>20</v>
      </c>
      <c r="M16" s="16">
        <v>45</v>
      </c>
    </row>
    <row r="17" spans="1:15">
      <c r="A17" t="s">
        <v>26</v>
      </c>
      <c r="B17" s="12">
        <v>45360</v>
      </c>
      <c r="C17" s="17" t="s">
        <v>316</v>
      </c>
      <c r="D17" t="s">
        <v>23</v>
      </c>
      <c r="E17" s="16">
        <v>10</v>
      </c>
      <c r="F17" t="s">
        <v>20</v>
      </c>
      <c r="G17" t="s">
        <v>23</v>
      </c>
      <c r="H17" s="16" t="s">
        <v>311</v>
      </c>
      <c r="I17" t="s">
        <v>19</v>
      </c>
      <c r="J17" s="16">
        <v>20</v>
      </c>
      <c r="K17" s="24" t="s">
        <v>336</v>
      </c>
      <c r="L17" s="16">
        <v>10</v>
      </c>
      <c r="M17" s="16">
        <v>20</v>
      </c>
    </row>
    <row r="18" spans="1:15">
      <c r="A18" t="s">
        <v>18</v>
      </c>
      <c r="B18" s="12">
        <v>45360</v>
      </c>
      <c r="C18" s="17" t="s">
        <v>316</v>
      </c>
      <c r="D18" t="s">
        <v>19</v>
      </c>
      <c r="E18" s="16">
        <v>15</v>
      </c>
      <c r="F18" t="s">
        <v>24</v>
      </c>
      <c r="G18" t="s">
        <v>19</v>
      </c>
      <c r="H18" s="16">
        <v>30</v>
      </c>
      <c r="I18" t="s">
        <v>23</v>
      </c>
      <c r="J18" s="16">
        <v>0</v>
      </c>
      <c r="K18" s="24" t="s">
        <v>338</v>
      </c>
      <c r="L18" s="16">
        <v>5</v>
      </c>
      <c r="M18" s="16">
        <f>SUM(E18,H18,J18)-tbl_data[[#This Row],[Coupon Value]]</f>
        <v>40</v>
      </c>
      <c r="N18">
        <v>3</v>
      </c>
      <c r="O18" t="s">
        <v>338</v>
      </c>
    </row>
    <row r="19" spans="1:15">
      <c r="A19" t="s">
        <v>22</v>
      </c>
      <c r="B19" s="12">
        <v>45361</v>
      </c>
      <c r="C19" s="17" t="s">
        <v>316</v>
      </c>
      <c r="D19" t="s">
        <v>19</v>
      </c>
      <c r="E19" s="16">
        <v>5</v>
      </c>
      <c r="F19" t="s">
        <v>27</v>
      </c>
      <c r="G19" t="s">
        <v>23</v>
      </c>
      <c r="H19" s="16" t="s">
        <v>311</v>
      </c>
      <c r="I19" t="s">
        <v>23</v>
      </c>
      <c r="J19" s="16">
        <v>0</v>
      </c>
      <c r="K19" s="24" t="s">
        <v>346</v>
      </c>
      <c r="L19" s="16">
        <v>0</v>
      </c>
      <c r="M19" s="16">
        <v>5</v>
      </c>
      <c r="N19">
        <v>4</v>
      </c>
      <c r="O19" t="s">
        <v>336</v>
      </c>
    </row>
    <row r="20" spans="1:15">
      <c r="A20" t="s">
        <v>18</v>
      </c>
      <c r="B20" s="12">
        <v>45362</v>
      </c>
      <c r="C20" s="17" t="s">
        <v>316</v>
      </c>
      <c r="D20" t="s">
        <v>23</v>
      </c>
      <c r="E20" s="16">
        <v>15</v>
      </c>
      <c r="F20" t="s">
        <v>20</v>
      </c>
      <c r="G20" t="s">
        <v>19</v>
      </c>
      <c r="H20" s="16">
        <v>30</v>
      </c>
      <c r="I20" t="s">
        <v>19</v>
      </c>
      <c r="J20" s="16">
        <v>20</v>
      </c>
      <c r="K20" s="24" t="s">
        <v>337</v>
      </c>
      <c r="L20" s="16">
        <v>8</v>
      </c>
      <c r="M20" s="16">
        <v>57</v>
      </c>
      <c r="N20">
        <v>7</v>
      </c>
      <c r="O20" t="s">
        <v>337</v>
      </c>
    </row>
    <row r="21" spans="1:15">
      <c r="A21" t="s">
        <v>18</v>
      </c>
      <c r="B21" s="12">
        <v>45362</v>
      </c>
      <c r="C21" s="17" t="s">
        <v>316</v>
      </c>
      <c r="D21" t="s">
        <v>23</v>
      </c>
      <c r="E21" s="16">
        <v>15</v>
      </c>
      <c r="F21" t="s">
        <v>27</v>
      </c>
      <c r="G21" t="s">
        <v>19</v>
      </c>
      <c r="H21" s="16">
        <v>30</v>
      </c>
      <c r="I21" t="s">
        <v>23</v>
      </c>
      <c r="J21" s="16">
        <v>0</v>
      </c>
      <c r="K21" s="24" t="s">
        <v>338</v>
      </c>
      <c r="L21" s="16">
        <v>7</v>
      </c>
      <c r="M21" s="16">
        <f>SUM(E21,H21,J21)-tbl_data[[#This Row],[Coupon Value]]</f>
        <v>38</v>
      </c>
    </row>
    <row r="22" spans="1:15">
      <c r="A22" t="s">
        <v>26</v>
      </c>
      <c r="B22" s="12">
        <v>45363</v>
      </c>
      <c r="C22" s="17" t="s">
        <v>316</v>
      </c>
      <c r="D22" t="s">
        <v>19</v>
      </c>
      <c r="E22" s="16">
        <v>10</v>
      </c>
      <c r="F22" t="s">
        <v>24</v>
      </c>
      <c r="G22" t="s">
        <v>23</v>
      </c>
      <c r="H22" s="16" t="s">
        <v>311</v>
      </c>
      <c r="I22" t="s">
        <v>19</v>
      </c>
      <c r="J22" s="16">
        <v>20</v>
      </c>
      <c r="K22" s="24" t="s">
        <v>336</v>
      </c>
      <c r="L22" s="16">
        <v>12</v>
      </c>
      <c r="M22" s="16">
        <v>18</v>
      </c>
    </row>
    <row r="23" spans="1:15">
      <c r="A23" t="s">
        <v>22</v>
      </c>
      <c r="B23" s="12">
        <v>45364</v>
      </c>
      <c r="C23" s="17" t="s">
        <v>316</v>
      </c>
      <c r="D23" t="s">
        <v>23</v>
      </c>
      <c r="E23" s="16">
        <v>5</v>
      </c>
      <c r="F23" t="s">
        <v>20</v>
      </c>
      <c r="G23" t="s">
        <v>23</v>
      </c>
      <c r="H23" s="16" t="s">
        <v>311</v>
      </c>
      <c r="I23" t="s">
        <v>23</v>
      </c>
      <c r="J23" s="16">
        <v>0</v>
      </c>
      <c r="K23" s="24" t="s">
        <v>346</v>
      </c>
      <c r="L23" s="16">
        <v>2</v>
      </c>
      <c r="M23" s="16">
        <v>3</v>
      </c>
    </row>
    <row r="24" spans="1:15">
      <c r="A24" t="s">
        <v>18</v>
      </c>
      <c r="B24" s="12">
        <v>45365</v>
      </c>
      <c r="C24" s="17" t="s">
        <v>316</v>
      </c>
      <c r="D24" t="s">
        <v>19</v>
      </c>
      <c r="E24" s="16">
        <v>15</v>
      </c>
      <c r="F24" t="s">
        <v>27</v>
      </c>
      <c r="G24" t="s">
        <v>19</v>
      </c>
      <c r="H24" s="16">
        <v>30</v>
      </c>
      <c r="I24" t="s">
        <v>19</v>
      </c>
      <c r="J24" s="16">
        <v>20</v>
      </c>
      <c r="K24" s="24" t="s">
        <v>337</v>
      </c>
      <c r="L24" s="16">
        <v>7</v>
      </c>
      <c r="M24" s="16">
        <v>58</v>
      </c>
    </row>
    <row r="25" spans="1:15">
      <c r="A25" t="s">
        <v>26</v>
      </c>
      <c r="B25" s="12">
        <v>45366</v>
      </c>
      <c r="C25" s="17" t="s">
        <v>316</v>
      </c>
      <c r="D25" t="s">
        <v>23</v>
      </c>
      <c r="E25" s="16">
        <v>10</v>
      </c>
      <c r="F25" t="s">
        <v>20</v>
      </c>
      <c r="G25" t="s">
        <v>23</v>
      </c>
      <c r="H25" s="16" t="s">
        <v>311</v>
      </c>
      <c r="I25" t="s">
        <v>19</v>
      </c>
      <c r="J25" s="16">
        <v>20</v>
      </c>
      <c r="K25" s="24" t="s">
        <v>336</v>
      </c>
      <c r="L25" s="16">
        <v>5</v>
      </c>
      <c r="M25" s="16">
        <v>25</v>
      </c>
    </row>
    <row r="26" spans="1:15">
      <c r="A26" t="s">
        <v>22</v>
      </c>
      <c r="B26" s="12">
        <v>45367</v>
      </c>
      <c r="C26" s="17" t="s">
        <v>316</v>
      </c>
      <c r="D26" t="s">
        <v>19</v>
      </c>
      <c r="E26" s="16">
        <v>5</v>
      </c>
      <c r="F26" t="s">
        <v>24</v>
      </c>
      <c r="G26" t="s">
        <v>23</v>
      </c>
      <c r="H26" s="16" t="s">
        <v>311</v>
      </c>
      <c r="I26" t="s">
        <v>23</v>
      </c>
      <c r="J26" s="16">
        <v>0</v>
      </c>
      <c r="K26" s="24" t="s">
        <v>346</v>
      </c>
      <c r="L26" s="16">
        <v>0</v>
      </c>
      <c r="M26" s="16">
        <v>5</v>
      </c>
    </row>
    <row r="27" spans="1:15">
      <c r="A27" t="s">
        <v>18</v>
      </c>
      <c r="B27" s="12">
        <v>45368</v>
      </c>
      <c r="C27" s="17" t="s">
        <v>316</v>
      </c>
      <c r="D27" t="s">
        <v>23</v>
      </c>
      <c r="E27" s="16">
        <v>15</v>
      </c>
      <c r="F27" t="s">
        <v>20</v>
      </c>
      <c r="G27" t="s">
        <v>19</v>
      </c>
      <c r="H27" s="16">
        <v>30</v>
      </c>
      <c r="I27" t="s">
        <v>19</v>
      </c>
      <c r="J27" s="16">
        <v>20</v>
      </c>
      <c r="K27" s="24" t="s">
        <v>337</v>
      </c>
      <c r="L27" s="16">
        <v>3</v>
      </c>
      <c r="M27" s="16">
        <v>62</v>
      </c>
    </row>
    <row r="28" spans="1:15">
      <c r="A28" t="s">
        <v>26</v>
      </c>
      <c r="B28" s="12">
        <v>45369</v>
      </c>
      <c r="C28" s="17" t="s">
        <v>316</v>
      </c>
      <c r="D28" t="s">
        <v>19</v>
      </c>
      <c r="E28" s="16">
        <v>10</v>
      </c>
      <c r="F28" t="s">
        <v>27</v>
      </c>
      <c r="G28" t="s">
        <v>23</v>
      </c>
      <c r="H28" s="16" t="s">
        <v>311</v>
      </c>
      <c r="I28" t="s">
        <v>19</v>
      </c>
      <c r="J28" s="16">
        <v>20</v>
      </c>
      <c r="K28" s="24" t="s">
        <v>336</v>
      </c>
      <c r="L28" s="16">
        <v>15</v>
      </c>
      <c r="M28" s="16">
        <v>15</v>
      </c>
    </row>
    <row r="29" spans="1:15">
      <c r="A29" t="s">
        <v>22</v>
      </c>
      <c r="B29" s="12">
        <v>45370</v>
      </c>
      <c r="C29" s="17" t="s">
        <v>316</v>
      </c>
      <c r="D29" t="s">
        <v>23</v>
      </c>
      <c r="E29" s="16">
        <v>5</v>
      </c>
      <c r="F29" t="s">
        <v>20</v>
      </c>
      <c r="G29" t="s">
        <v>23</v>
      </c>
      <c r="H29" s="16" t="s">
        <v>311</v>
      </c>
      <c r="I29" t="s">
        <v>23</v>
      </c>
      <c r="J29" s="16">
        <v>0</v>
      </c>
      <c r="K29" s="24" t="s">
        <v>346</v>
      </c>
      <c r="L29" s="16">
        <v>1</v>
      </c>
      <c r="M29" s="16">
        <v>4</v>
      </c>
    </row>
    <row r="30" spans="1:15">
      <c r="A30" t="s">
        <v>18</v>
      </c>
      <c r="B30" s="12">
        <v>45371</v>
      </c>
      <c r="C30" s="17" t="s">
        <v>316</v>
      </c>
      <c r="D30" t="s">
        <v>19</v>
      </c>
      <c r="E30" s="16">
        <v>15</v>
      </c>
      <c r="F30" t="s">
        <v>24</v>
      </c>
      <c r="G30" t="s">
        <v>19</v>
      </c>
      <c r="H30" s="16">
        <v>30</v>
      </c>
      <c r="I30" t="s">
        <v>19</v>
      </c>
      <c r="J30" s="16">
        <v>20</v>
      </c>
      <c r="K30" s="24" t="s">
        <v>337</v>
      </c>
      <c r="L30" s="16">
        <v>20</v>
      </c>
      <c r="M30" s="16">
        <v>45</v>
      </c>
    </row>
    <row r="31" spans="1:15">
      <c r="A31" t="s">
        <v>26</v>
      </c>
      <c r="B31" s="12">
        <v>45372</v>
      </c>
      <c r="C31" s="17" t="s">
        <v>316</v>
      </c>
      <c r="D31" t="s">
        <v>23</v>
      </c>
      <c r="E31" s="16">
        <v>10</v>
      </c>
      <c r="F31" t="s">
        <v>20</v>
      </c>
      <c r="G31" t="s">
        <v>23</v>
      </c>
      <c r="H31" s="16" t="s">
        <v>311</v>
      </c>
      <c r="I31" t="s">
        <v>19</v>
      </c>
      <c r="J31" s="16">
        <v>20</v>
      </c>
      <c r="K31" s="24" t="s">
        <v>336</v>
      </c>
      <c r="L31" s="16">
        <v>10</v>
      </c>
      <c r="M31" s="16">
        <v>20</v>
      </c>
    </row>
    <row r="32" spans="1:15">
      <c r="A32" t="s">
        <v>22</v>
      </c>
      <c r="B32" s="12">
        <v>45373</v>
      </c>
      <c r="C32" s="17" t="s">
        <v>316</v>
      </c>
      <c r="D32" t="s">
        <v>19</v>
      </c>
      <c r="E32" s="16">
        <v>5</v>
      </c>
      <c r="F32" t="s">
        <v>27</v>
      </c>
      <c r="G32" t="s">
        <v>23</v>
      </c>
      <c r="H32" s="16" t="s">
        <v>311</v>
      </c>
      <c r="I32" t="s">
        <v>23</v>
      </c>
      <c r="J32" s="16">
        <v>0</v>
      </c>
      <c r="K32" s="24" t="s">
        <v>346</v>
      </c>
      <c r="L32" s="16">
        <v>0</v>
      </c>
      <c r="M32" s="16">
        <v>5</v>
      </c>
    </row>
    <row r="33" spans="1:13">
      <c r="A33" t="s">
        <v>18</v>
      </c>
      <c r="B33" s="12">
        <v>45374</v>
      </c>
      <c r="C33" s="17" t="s">
        <v>316</v>
      </c>
      <c r="D33" t="s">
        <v>23</v>
      </c>
      <c r="E33" s="16">
        <v>15</v>
      </c>
      <c r="F33" t="s">
        <v>20</v>
      </c>
      <c r="G33" t="s">
        <v>19</v>
      </c>
      <c r="H33" s="16">
        <v>30</v>
      </c>
      <c r="I33" t="s">
        <v>19</v>
      </c>
      <c r="J33" s="16">
        <v>20</v>
      </c>
      <c r="K33" s="24" t="s">
        <v>337</v>
      </c>
      <c r="L33" s="16">
        <v>5</v>
      </c>
      <c r="M33" s="16">
        <v>60</v>
      </c>
    </row>
    <row r="34" spans="1:13">
      <c r="A34" t="s">
        <v>26</v>
      </c>
      <c r="B34" s="12">
        <v>45375</v>
      </c>
      <c r="C34" s="17" t="s">
        <v>316</v>
      </c>
      <c r="D34" t="s">
        <v>19</v>
      </c>
      <c r="E34" s="16">
        <v>10</v>
      </c>
      <c r="F34" t="s">
        <v>24</v>
      </c>
      <c r="G34" t="s">
        <v>23</v>
      </c>
      <c r="H34" s="16" t="s">
        <v>311</v>
      </c>
      <c r="I34" t="s">
        <v>19</v>
      </c>
      <c r="J34" s="16">
        <v>20</v>
      </c>
      <c r="K34" s="24" t="s">
        <v>336</v>
      </c>
      <c r="L34" s="16">
        <v>15</v>
      </c>
      <c r="M34" s="16">
        <v>15</v>
      </c>
    </row>
    <row r="35" spans="1:13">
      <c r="A35" t="s">
        <v>22</v>
      </c>
      <c r="B35" s="12">
        <v>45375</v>
      </c>
      <c r="C35" s="17" t="s">
        <v>316</v>
      </c>
      <c r="D35" t="s">
        <v>19</v>
      </c>
      <c r="E35" s="16">
        <v>5</v>
      </c>
      <c r="F35" t="s">
        <v>24</v>
      </c>
      <c r="G35" t="s">
        <v>19</v>
      </c>
      <c r="H35" s="16">
        <v>30</v>
      </c>
      <c r="I35" t="s">
        <v>23</v>
      </c>
      <c r="J35" s="16">
        <v>0</v>
      </c>
      <c r="K35" s="24" t="s">
        <v>338</v>
      </c>
      <c r="L35" s="16">
        <v>0</v>
      </c>
      <c r="M35" s="16">
        <f>SUM(E35,H35,J35)-tbl_data[[#This Row],[Coupon Value]]</f>
        <v>35</v>
      </c>
    </row>
    <row r="36" spans="1:13">
      <c r="A36" t="s">
        <v>22</v>
      </c>
      <c r="B36" s="12">
        <v>45376</v>
      </c>
      <c r="C36" s="17" t="s">
        <v>316</v>
      </c>
      <c r="D36" t="s">
        <v>23</v>
      </c>
      <c r="E36" s="16">
        <v>5</v>
      </c>
      <c r="F36" t="s">
        <v>20</v>
      </c>
      <c r="G36" t="s">
        <v>23</v>
      </c>
      <c r="H36" s="16" t="s">
        <v>311</v>
      </c>
      <c r="I36" t="s">
        <v>23</v>
      </c>
      <c r="J36" s="16">
        <v>0</v>
      </c>
      <c r="K36" s="24" t="s">
        <v>346</v>
      </c>
      <c r="L36" s="16">
        <v>1</v>
      </c>
      <c r="M36" s="16">
        <v>4</v>
      </c>
    </row>
    <row r="37" spans="1:13">
      <c r="A37" t="s">
        <v>18</v>
      </c>
      <c r="B37" s="12">
        <v>45377</v>
      </c>
      <c r="C37" s="17" t="s">
        <v>316</v>
      </c>
      <c r="D37" t="s">
        <v>19</v>
      </c>
      <c r="E37" s="16">
        <v>15</v>
      </c>
      <c r="F37" t="s">
        <v>27</v>
      </c>
      <c r="G37" t="s">
        <v>19</v>
      </c>
      <c r="H37" s="16">
        <v>30</v>
      </c>
      <c r="I37" t="s">
        <v>19</v>
      </c>
      <c r="J37" s="16">
        <v>20</v>
      </c>
      <c r="K37" s="24" t="s">
        <v>337</v>
      </c>
      <c r="L37" s="16">
        <v>7</v>
      </c>
      <c r="M37" s="16">
        <v>58</v>
      </c>
    </row>
    <row r="38" spans="1:13">
      <c r="A38" t="s">
        <v>26</v>
      </c>
      <c r="B38" s="12">
        <v>45378</v>
      </c>
      <c r="C38" s="17" t="s">
        <v>316</v>
      </c>
      <c r="D38" t="s">
        <v>23</v>
      </c>
      <c r="E38" s="16">
        <v>10</v>
      </c>
      <c r="F38" t="s">
        <v>20</v>
      </c>
      <c r="G38" t="s">
        <v>23</v>
      </c>
      <c r="H38" s="16" t="s">
        <v>311</v>
      </c>
      <c r="I38" t="s">
        <v>19</v>
      </c>
      <c r="J38" s="16">
        <v>20</v>
      </c>
      <c r="K38" s="24" t="s">
        <v>336</v>
      </c>
      <c r="L38" s="16">
        <v>10</v>
      </c>
      <c r="M38" s="16">
        <v>20</v>
      </c>
    </row>
    <row r="39" spans="1:13">
      <c r="A39" t="s">
        <v>22</v>
      </c>
      <c r="B39" s="12">
        <v>45379</v>
      </c>
      <c r="C39" s="17" t="s">
        <v>316</v>
      </c>
      <c r="D39" t="s">
        <v>19</v>
      </c>
      <c r="E39" s="16">
        <v>5</v>
      </c>
      <c r="F39" t="s">
        <v>24</v>
      </c>
      <c r="G39" t="s">
        <v>23</v>
      </c>
      <c r="H39" s="16" t="s">
        <v>311</v>
      </c>
      <c r="I39" t="s">
        <v>23</v>
      </c>
      <c r="J39" s="16">
        <v>0</v>
      </c>
      <c r="K39" s="24" t="s">
        <v>346</v>
      </c>
      <c r="L39" s="16">
        <v>0</v>
      </c>
      <c r="M39" s="16">
        <v>5</v>
      </c>
    </row>
    <row r="40" spans="1:13">
      <c r="A40" t="s">
        <v>18</v>
      </c>
      <c r="B40" s="12">
        <v>45380</v>
      </c>
      <c r="C40" s="17" t="s">
        <v>316</v>
      </c>
      <c r="D40" t="s">
        <v>23</v>
      </c>
      <c r="E40" s="16">
        <v>15</v>
      </c>
      <c r="F40" t="s">
        <v>20</v>
      </c>
      <c r="G40" t="s">
        <v>19</v>
      </c>
      <c r="H40" s="16">
        <v>30</v>
      </c>
      <c r="I40" t="s">
        <v>19</v>
      </c>
      <c r="J40" s="16">
        <v>20</v>
      </c>
      <c r="K40" s="24" t="s">
        <v>337</v>
      </c>
      <c r="L40" s="16">
        <v>3</v>
      </c>
      <c r="M40" s="16">
        <v>62</v>
      </c>
    </row>
    <row r="41" spans="1:13">
      <c r="A41" t="s">
        <v>26</v>
      </c>
      <c r="B41" s="12">
        <v>45381</v>
      </c>
      <c r="C41" s="17" t="s">
        <v>316</v>
      </c>
      <c r="D41" t="s">
        <v>19</v>
      </c>
      <c r="E41" s="16">
        <v>10</v>
      </c>
      <c r="F41" t="s">
        <v>27</v>
      </c>
      <c r="G41" t="s">
        <v>23</v>
      </c>
      <c r="H41" s="16" t="s">
        <v>311</v>
      </c>
      <c r="I41" t="s">
        <v>19</v>
      </c>
      <c r="J41" s="16">
        <v>20</v>
      </c>
      <c r="K41" s="24" t="s">
        <v>336</v>
      </c>
      <c r="L41" s="16">
        <v>15</v>
      </c>
      <c r="M41" s="16">
        <v>15</v>
      </c>
    </row>
    <row r="42" spans="1:13">
      <c r="A42" t="s">
        <v>22</v>
      </c>
      <c r="B42" s="12">
        <v>45382</v>
      </c>
      <c r="C42" s="17" t="s">
        <v>316</v>
      </c>
      <c r="D42" t="s">
        <v>23</v>
      </c>
      <c r="E42" s="16">
        <v>5</v>
      </c>
      <c r="F42" t="s">
        <v>20</v>
      </c>
      <c r="G42" t="s">
        <v>23</v>
      </c>
      <c r="H42" s="16" t="s">
        <v>311</v>
      </c>
      <c r="I42" t="s">
        <v>23</v>
      </c>
      <c r="J42" s="16">
        <v>0</v>
      </c>
      <c r="K42" s="24" t="s">
        <v>346</v>
      </c>
      <c r="L42" s="16">
        <v>1</v>
      </c>
      <c r="M42" s="16">
        <v>4</v>
      </c>
    </row>
    <row r="43" spans="1:13">
      <c r="A43" t="s">
        <v>22</v>
      </c>
      <c r="B43" s="12">
        <v>45383</v>
      </c>
      <c r="C43" s="17" t="s">
        <v>317</v>
      </c>
      <c r="D43" t="s">
        <v>19</v>
      </c>
      <c r="E43" s="16">
        <v>5</v>
      </c>
      <c r="F43" t="s">
        <v>20</v>
      </c>
      <c r="G43" t="s">
        <v>23</v>
      </c>
      <c r="H43" s="16" t="s">
        <v>311</v>
      </c>
      <c r="I43" t="s">
        <v>23</v>
      </c>
      <c r="J43" s="16">
        <v>0</v>
      </c>
      <c r="K43" s="24" t="s">
        <v>346</v>
      </c>
      <c r="L43" s="16">
        <v>0</v>
      </c>
      <c r="M43" s="16">
        <v>5</v>
      </c>
    </row>
    <row r="44" spans="1:13">
      <c r="A44" t="s">
        <v>18</v>
      </c>
      <c r="B44" s="12">
        <v>45384</v>
      </c>
      <c r="C44" s="17" t="s">
        <v>317</v>
      </c>
      <c r="D44" t="s">
        <v>23</v>
      </c>
      <c r="E44" s="16">
        <v>15</v>
      </c>
      <c r="F44" t="s">
        <v>27</v>
      </c>
      <c r="G44" t="s">
        <v>19</v>
      </c>
      <c r="H44" s="16">
        <v>30</v>
      </c>
      <c r="I44" t="s">
        <v>19</v>
      </c>
      <c r="J44" s="16">
        <v>20</v>
      </c>
      <c r="K44" s="24" t="s">
        <v>337</v>
      </c>
      <c r="L44" s="16">
        <v>7</v>
      </c>
      <c r="M44" s="16">
        <v>58</v>
      </c>
    </row>
    <row r="45" spans="1:13">
      <c r="A45" t="s">
        <v>22</v>
      </c>
      <c r="B45" s="12">
        <v>45384</v>
      </c>
      <c r="C45" s="17" t="s">
        <v>317</v>
      </c>
      <c r="D45" t="s">
        <v>19</v>
      </c>
      <c r="E45" s="16">
        <v>5</v>
      </c>
      <c r="F45" t="s">
        <v>27</v>
      </c>
      <c r="G45" t="s">
        <v>19</v>
      </c>
      <c r="H45" s="16">
        <v>30</v>
      </c>
      <c r="I45" t="s">
        <v>23</v>
      </c>
      <c r="J45" s="16">
        <v>0</v>
      </c>
      <c r="K45" s="24" t="s">
        <v>338</v>
      </c>
      <c r="L45" s="16">
        <v>0</v>
      </c>
      <c r="M45" s="16">
        <f>SUM(E45,H45,J45)-tbl_data[[#This Row],[Coupon Value]]</f>
        <v>35</v>
      </c>
    </row>
    <row r="46" spans="1:13">
      <c r="A46" t="s">
        <v>26</v>
      </c>
      <c r="B46" s="12">
        <v>45385</v>
      </c>
      <c r="C46" s="17" t="s">
        <v>317</v>
      </c>
      <c r="D46" t="s">
        <v>19</v>
      </c>
      <c r="E46" s="16">
        <v>10</v>
      </c>
      <c r="F46" t="s">
        <v>24</v>
      </c>
      <c r="G46" t="s">
        <v>23</v>
      </c>
      <c r="H46" s="16" t="s">
        <v>311</v>
      </c>
      <c r="I46" t="s">
        <v>19</v>
      </c>
      <c r="J46" s="16">
        <v>20</v>
      </c>
      <c r="K46" s="24" t="s">
        <v>336</v>
      </c>
      <c r="L46" s="16">
        <v>10</v>
      </c>
      <c r="M46" s="16">
        <v>20</v>
      </c>
    </row>
    <row r="47" spans="1:13">
      <c r="A47" t="s">
        <v>22</v>
      </c>
      <c r="B47" s="12">
        <v>45386</v>
      </c>
      <c r="C47" s="17" t="s">
        <v>317</v>
      </c>
      <c r="D47" t="s">
        <v>23</v>
      </c>
      <c r="E47" s="16">
        <v>5</v>
      </c>
      <c r="F47" t="s">
        <v>27</v>
      </c>
      <c r="G47" t="s">
        <v>23</v>
      </c>
      <c r="H47" s="16" t="s">
        <v>311</v>
      </c>
      <c r="I47" t="s">
        <v>23</v>
      </c>
      <c r="J47" s="16">
        <v>0</v>
      </c>
      <c r="K47" s="24" t="s">
        <v>346</v>
      </c>
      <c r="L47" s="16">
        <v>1</v>
      </c>
      <c r="M47" s="16">
        <v>4</v>
      </c>
    </row>
    <row r="48" spans="1:13">
      <c r="A48" t="s">
        <v>18</v>
      </c>
      <c r="B48" s="12">
        <v>45387</v>
      </c>
      <c r="C48" s="17" t="s">
        <v>317</v>
      </c>
      <c r="D48" t="s">
        <v>19</v>
      </c>
      <c r="E48" s="16">
        <v>15</v>
      </c>
      <c r="F48" t="s">
        <v>20</v>
      </c>
      <c r="G48" t="s">
        <v>19</v>
      </c>
      <c r="H48" s="16">
        <v>30</v>
      </c>
      <c r="I48" t="s">
        <v>19</v>
      </c>
      <c r="J48" s="16">
        <v>20</v>
      </c>
      <c r="K48" s="24" t="s">
        <v>337</v>
      </c>
      <c r="L48" s="16">
        <v>15</v>
      </c>
      <c r="M48" s="16">
        <v>50</v>
      </c>
    </row>
    <row r="49" spans="1:13">
      <c r="A49" t="s">
        <v>26</v>
      </c>
      <c r="B49" s="12">
        <v>45388</v>
      </c>
      <c r="C49" s="17" t="s">
        <v>317</v>
      </c>
      <c r="D49" t="s">
        <v>23</v>
      </c>
      <c r="E49" s="16">
        <v>10</v>
      </c>
      <c r="F49" t="s">
        <v>20</v>
      </c>
      <c r="G49" t="s">
        <v>23</v>
      </c>
      <c r="H49" s="16" t="s">
        <v>311</v>
      </c>
      <c r="I49" t="s">
        <v>19</v>
      </c>
      <c r="J49" s="16">
        <v>20</v>
      </c>
      <c r="K49" s="24" t="s">
        <v>336</v>
      </c>
      <c r="L49" s="16">
        <v>5</v>
      </c>
      <c r="M49" s="16">
        <v>25</v>
      </c>
    </row>
    <row r="50" spans="1:13">
      <c r="A50" t="s">
        <v>22</v>
      </c>
      <c r="B50" s="12">
        <v>45389</v>
      </c>
      <c r="C50" s="17" t="s">
        <v>317</v>
      </c>
      <c r="D50" t="s">
        <v>19</v>
      </c>
      <c r="E50" s="16">
        <v>5</v>
      </c>
      <c r="F50" t="s">
        <v>24</v>
      </c>
      <c r="G50" t="s">
        <v>23</v>
      </c>
      <c r="H50" s="16" t="s">
        <v>311</v>
      </c>
      <c r="I50" t="s">
        <v>23</v>
      </c>
      <c r="J50" s="16">
        <v>0</v>
      </c>
      <c r="K50" s="24" t="s">
        <v>346</v>
      </c>
      <c r="L50" s="16">
        <v>0</v>
      </c>
      <c r="M50" s="16">
        <v>5</v>
      </c>
    </row>
    <row r="51" spans="1:13">
      <c r="A51" t="s">
        <v>18</v>
      </c>
      <c r="B51" s="12">
        <v>45390</v>
      </c>
      <c r="C51" s="17" t="s">
        <v>317</v>
      </c>
      <c r="D51" t="s">
        <v>23</v>
      </c>
      <c r="E51" s="16">
        <v>15</v>
      </c>
      <c r="F51" t="s">
        <v>27</v>
      </c>
      <c r="G51" t="s">
        <v>19</v>
      </c>
      <c r="H51" s="16">
        <v>30</v>
      </c>
      <c r="I51" t="s">
        <v>19</v>
      </c>
      <c r="J51" s="16">
        <v>20</v>
      </c>
      <c r="K51" s="24" t="s">
        <v>337</v>
      </c>
      <c r="L51" s="16">
        <v>20</v>
      </c>
      <c r="M51" s="16">
        <v>45</v>
      </c>
    </row>
    <row r="52" spans="1:13">
      <c r="A52" t="s">
        <v>26</v>
      </c>
      <c r="B52" s="12">
        <v>45391</v>
      </c>
      <c r="C52" s="17" t="s">
        <v>317</v>
      </c>
      <c r="D52" t="s">
        <v>19</v>
      </c>
      <c r="E52" s="16">
        <v>10</v>
      </c>
      <c r="F52" t="s">
        <v>27</v>
      </c>
      <c r="G52" t="s">
        <v>23</v>
      </c>
      <c r="H52" s="16" t="s">
        <v>311</v>
      </c>
      <c r="I52" t="s">
        <v>19</v>
      </c>
      <c r="J52" s="16">
        <v>20</v>
      </c>
      <c r="K52" s="24" t="s">
        <v>336</v>
      </c>
      <c r="L52" s="16">
        <v>12</v>
      </c>
      <c r="M52" s="16">
        <v>18</v>
      </c>
    </row>
    <row r="53" spans="1:13">
      <c r="A53" t="s">
        <v>22</v>
      </c>
      <c r="B53" s="12">
        <v>45392</v>
      </c>
      <c r="C53" s="17" t="s">
        <v>317</v>
      </c>
      <c r="D53" t="s">
        <v>23</v>
      </c>
      <c r="E53" s="16">
        <v>5</v>
      </c>
      <c r="F53" t="s">
        <v>20</v>
      </c>
      <c r="G53" t="s">
        <v>23</v>
      </c>
      <c r="H53" s="16" t="s">
        <v>311</v>
      </c>
      <c r="I53" t="s">
        <v>23</v>
      </c>
      <c r="J53" s="16">
        <v>0</v>
      </c>
      <c r="K53" s="24" t="s">
        <v>346</v>
      </c>
      <c r="L53" s="16">
        <v>2</v>
      </c>
      <c r="M53" s="16">
        <v>3</v>
      </c>
    </row>
    <row r="54" spans="1:13">
      <c r="A54" t="s">
        <v>18</v>
      </c>
      <c r="B54" s="12">
        <v>45393</v>
      </c>
      <c r="C54" s="17" t="s">
        <v>317</v>
      </c>
      <c r="D54" t="s">
        <v>19</v>
      </c>
      <c r="E54" s="16">
        <v>15</v>
      </c>
      <c r="F54" t="s">
        <v>24</v>
      </c>
      <c r="G54" t="s">
        <v>19</v>
      </c>
      <c r="H54" s="16">
        <v>30</v>
      </c>
      <c r="I54" t="s">
        <v>19</v>
      </c>
      <c r="J54" s="16">
        <v>20</v>
      </c>
      <c r="K54" s="24" t="s">
        <v>337</v>
      </c>
      <c r="L54" s="16">
        <v>5</v>
      </c>
      <c r="M54" s="16">
        <v>60</v>
      </c>
    </row>
    <row r="55" spans="1:13">
      <c r="A55" t="s">
        <v>26</v>
      </c>
      <c r="B55" s="12">
        <v>45394</v>
      </c>
      <c r="C55" s="17" t="s">
        <v>317</v>
      </c>
      <c r="D55" t="s">
        <v>23</v>
      </c>
      <c r="E55" s="16">
        <v>10</v>
      </c>
      <c r="F55" t="s">
        <v>20</v>
      </c>
      <c r="G55" t="s">
        <v>23</v>
      </c>
      <c r="H55" s="16" t="s">
        <v>311</v>
      </c>
      <c r="I55" t="s">
        <v>19</v>
      </c>
      <c r="J55" s="16">
        <v>20</v>
      </c>
      <c r="K55" s="24" t="s">
        <v>336</v>
      </c>
      <c r="L55" s="16">
        <v>10</v>
      </c>
      <c r="M55" s="16">
        <v>20</v>
      </c>
    </row>
    <row r="56" spans="1:13">
      <c r="A56" t="s">
        <v>22</v>
      </c>
      <c r="B56" s="12">
        <v>45395</v>
      </c>
      <c r="C56" s="17" t="s">
        <v>317</v>
      </c>
      <c r="D56" t="s">
        <v>19</v>
      </c>
      <c r="E56" s="16">
        <v>5</v>
      </c>
      <c r="F56" t="s">
        <v>27</v>
      </c>
      <c r="G56" t="s">
        <v>23</v>
      </c>
      <c r="H56" s="16" t="s">
        <v>311</v>
      </c>
      <c r="I56" t="s">
        <v>23</v>
      </c>
      <c r="J56" s="16">
        <v>0</v>
      </c>
      <c r="K56" s="24" t="s">
        <v>346</v>
      </c>
      <c r="L56" s="16">
        <v>0</v>
      </c>
      <c r="M56" s="16">
        <v>5</v>
      </c>
    </row>
    <row r="57" spans="1:13">
      <c r="A57" t="s">
        <v>18</v>
      </c>
      <c r="B57" s="12">
        <v>45396</v>
      </c>
      <c r="C57" s="17" t="s">
        <v>317</v>
      </c>
      <c r="D57" t="s">
        <v>23</v>
      </c>
      <c r="E57" s="16">
        <v>15</v>
      </c>
      <c r="F57" t="s">
        <v>20</v>
      </c>
      <c r="G57" t="s">
        <v>19</v>
      </c>
      <c r="H57" s="16">
        <v>30</v>
      </c>
      <c r="I57" t="s">
        <v>19</v>
      </c>
      <c r="J57" s="16">
        <v>20</v>
      </c>
      <c r="K57" s="24" t="s">
        <v>337</v>
      </c>
      <c r="L57" s="16">
        <v>3</v>
      </c>
      <c r="M57" s="16">
        <v>62</v>
      </c>
    </row>
    <row r="58" spans="1:13">
      <c r="A58" t="s">
        <v>26</v>
      </c>
      <c r="B58" s="12">
        <v>45397</v>
      </c>
      <c r="C58" s="17" t="s">
        <v>317</v>
      </c>
      <c r="D58" t="s">
        <v>19</v>
      </c>
      <c r="E58" s="16">
        <v>10</v>
      </c>
      <c r="F58" t="s">
        <v>24</v>
      </c>
      <c r="G58" t="s">
        <v>23</v>
      </c>
      <c r="H58" s="16" t="s">
        <v>311</v>
      </c>
      <c r="I58" t="s">
        <v>19</v>
      </c>
      <c r="J58" s="16">
        <v>20</v>
      </c>
      <c r="K58" s="24" t="s">
        <v>336</v>
      </c>
      <c r="L58" s="16">
        <v>15</v>
      </c>
      <c r="M58" s="16">
        <v>15</v>
      </c>
    </row>
    <row r="59" spans="1:13">
      <c r="A59" t="s">
        <v>22</v>
      </c>
      <c r="B59" s="12">
        <v>45398</v>
      </c>
      <c r="C59" s="17" t="s">
        <v>317</v>
      </c>
      <c r="D59" t="s">
        <v>23</v>
      </c>
      <c r="E59" s="16">
        <v>5</v>
      </c>
      <c r="F59" t="s">
        <v>20</v>
      </c>
      <c r="G59" t="s">
        <v>23</v>
      </c>
      <c r="H59" s="16" t="s">
        <v>311</v>
      </c>
      <c r="I59" t="s">
        <v>23</v>
      </c>
      <c r="J59" s="16">
        <v>0</v>
      </c>
      <c r="K59" s="24" t="s">
        <v>346</v>
      </c>
      <c r="L59" s="16">
        <v>1</v>
      </c>
      <c r="M59" s="16">
        <v>4</v>
      </c>
    </row>
    <row r="60" spans="1:13">
      <c r="A60" t="s">
        <v>18</v>
      </c>
      <c r="B60" s="12">
        <v>45399</v>
      </c>
      <c r="C60" s="17" t="s">
        <v>317</v>
      </c>
      <c r="D60" t="s">
        <v>19</v>
      </c>
      <c r="E60" s="16">
        <v>15</v>
      </c>
      <c r="F60" t="s">
        <v>27</v>
      </c>
      <c r="G60" t="s">
        <v>19</v>
      </c>
      <c r="H60" s="16">
        <v>30</v>
      </c>
      <c r="I60" t="s">
        <v>19</v>
      </c>
      <c r="J60" s="16">
        <v>20</v>
      </c>
      <c r="K60" s="24" t="s">
        <v>337</v>
      </c>
      <c r="L60" s="16">
        <v>7</v>
      </c>
      <c r="M60" s="16">
        <v>58</v>
      </c>
    </row>
    <row r="61" spans="1:13">
      <c r="A61" t="s">
        <v>26</v>
      </c>
      <c r="B61" s="12">
        <v>45400</v>
      </c>
      <c r="C61" s="17" t="s">
        <v>317</v>
      </c>
      <c r="D61" t="s">
        <v>23</v>
      </c>
      <c r="E61" s="16">
        <v>10</v>
      </c>
      <c r="F61" t="s">
        <v>20</v>
      </c>
      <c r="G61" t="s">
        <v>23</v>
      </c>
      <c r="H61" s="16" t="s">
        <v>311</v>
      </c>
      <c r="I61" t="s">
        <v>19</v>
      </c>
      <c r="J61" s="16">
        <v>20</v>
      </c>
      <c r="K61" s="24" t="s">
        <v>336</v>
      </c>
      <c r="L61" s="16">
        <v>10</v>
      </c>
      <c r="M61" s="16">
        <v>20</v>
      </c>
    </row>
    <row r="62" spans="1:13">
      <c r="A62" t="s">
        <v>22</v>
      </c>
      <c r="B62" s="12">
        <v>45401</v>
      </c>
      <c r="C62" s="17" t="s">
        <v>317</v>
      </c>
      <c r="D62" t="s">
        <v>19</v>
      </c>
      <c r="E62" s="16">
        <v>5</v>
      </c>
      <c r="F62" t="s">
        <v>24</v>
      </c>
      <c r="G62" t="s">
        <v>23</v>
      </c>
      <c r="H62" s="16" t="s">
        <v>311</v>
      </c>
      <c r="I62" t="s">
        <v>23</v>
      </c>
      <c r="J62" s="16">
        <v>0</v>
      </c>
      <c r="K62" s="24" t="s">
        <v>346</v>
      </c>
      <c r="L62" s="16">
        <v>0</v>
      </c>
      <c r="M62" s="16">
        <v>5</v>
      </c>
    </row>
    <row r="63" spans="1:13">
      <c r="A63" t="s">
        <v>18</v>
      </c>
      <c r="B63" s="12">
        <v>45402</v>
      </c>
      <c r="C63" s="17" t="s">
        <v>317</v>
      </c>
      <c r="D63" t="s">
        <v>23</v>
      </c>
      <c r="E63" s="16">
        <v>15</v>
      </c>
      <c r="F63" t="s">
        <v>20</v>
      </c>
      <c r="G63" t="s">
        <v>19</v>
      </c>
      <c r="H63" s="16">
        <v>30</v>
      </c>
      <c r="I63" t="s">
        <v>19</v>
      </c>
      <c r="J63" s="16">
        <v>20</v>
      </c>
      <c r="K63" s="24" t="s">
        <v>337</v>
      </c>
      <c r="L63" s="16">
        <v>20</v>
      </c>
      <c r="M63" s="16">
        <v>45</v>
      </c>
    </row>
    <row r="64" spans="1:13">
      <c r="A64" t="s">
        <v>26</v>
      </c>
      <c r="B64" s="12">
        <v>45403</v>
      </c>
      <c r="C64" s="17" t="s">
        <v>317</v>
      </c>
      <c r="D64" t="s">
        <v>19</v>
      </c>
      <c r="E64" s="16">
        <v>10</v>
      </c>
      <c r="F64" t="s">
        <v>27</v>
      </c>
      <c r="G64" t="s">
        <v>23</v>
      </c>
      <c r="H64" s="16" t="s">
        <v>311</v>
      </c>
      <c r="I64" t="s">
        <v>19</v>
      </c>
      <c r="J64" s="16">
        <v>20</v>
      </c>
      <c r="K64" s="24" t="s">
        <v>336</v>
      </c>
      <c r="L64" s="16">
        <v>15</v>
      </c>
      <c r="M64" s="16">
        <v>15</v>
      </c>
    </row>
    <row r="65" spans="1:13">
      <c r="A65" t="s">
        <v>22</v>
      </c>
      <c r="B65" s="12">
        <v>45404</v>
      </c>
      <c r="C65" s="17" t="s">
        <v>317</v>
      </c>
      <c r="D65" t="s">
        <v>23</v>
      </c>
      <c r="E65" s="16">
        <v>5</v>
      </c>
      <c r="F65" t="s">
        <v>20</v>
      </c>
      <c r="G65" t="s">
        <v>23</v>
      </c>
      <c r="H65" s="16" t="s">
        <v>311</v>
      </c>
      <c r="I65" t="s">
        <v>23</v>
      </c>
      <c r="J65" s="16">
        <v>0</v>
      </c>
      <c r="K65" s="24" t="s">
        <v>346</v>
      </c>
      <c r="L65" s="16">
        <v>1</v>
      </c>
      <c r="M65" s="16">
        <v>4</v>
      </c>
    </row>
    <row r="66" spans="1:13">
      <c r="A66" t="s">
        <v>18</v>
      </c>
      <c r="B66" s="12">
        <v>45404</v>
      </c>
      <c r="C66" s="17" t="s">
        <v>317</v>
      </c>
      <c r="D66" t="s">
        <v>23</v>
      </c>
      <c r="E66" s="16">
        <v>15</v>
      </c>
      <c r="F66" t="s">
        <v>20</v>
      </c>
      <c r="G66" t="s">
        <v>19</v>
      </c>
      <c r="H66" s="16">
        <v>30</v>
      </c>
      <c r="I66" t="s">
        <v>23</v>
      </c>
      <c r="J66" s="16">
        <v>0</v>
      </c>
      <c r="K66" s="24" t="s">
        <v>338</v>
      </c>
      <c r="L66" s="16">
        <v>3</v>
      </c>
      <c r="M66" s="16">
        <f>SUM(E66,H66,J66)-tbl_data[[#This Row],[Coupon Value]]</f>
        <v>42</v>
      </c>
    </row>
    <row r="67" spans="1:13">
      <c r="A67" t="s">
        <v>18</v>
      </c>
      <c r="B67" s="12">
        <v>45405</v>
      </c>
      <c r="C67" s="17" t="s">
        <v>317</v>
      </c>
      <c r="D67" t="s">
        <v>19</v>
      </c>
      <c r="E67" s="16">
        <v>15</v>
      </c>
      <c r="F67" t="s">
        <v>24</v>
      </c>
      <c r="G67" t="s">
        <v>19</v>
      </c>
      <c r="H67" s="16">
        <v>30</v>
      </c>
      <c r="I67" t="s">
        <v>19</v>
      </c>
      <c r="J67" s="16">
        <v>20</v>
      </c>
      <c r="K67" s="24" t="s">
        <v>337</v>
      </c>
      <c r="L67" s="16">
        <v>3</v>
      </c>
      <c r="M67" s="16">
        <v>62</v>
      </c>
    </row>
    <row r="68" spans="1:13">
      <c r="A68" t="s">
        <v>26</v>
      </c>
      <c r="B68" s="12">
        <v>45406</v>
      </c>
      <c r="C68" s="17" t="s">
        <v>317</v>
      </c>
      <c r="D68" t="s">
        <v>23</v>
      </c>
      <c r="E68" s="16">
        <v>10</v>
      </c>
      <c r="F68" t="s">
        <v>20</v>
      </c>
      <c r="G68" t="s">
        <v>23</v>
      </c>
      <c r="H68" s="16" t="s">
        <v>311</v>
      </c>
      <c r="I68" t="s">
        <v>19</v>
      </c>
      <c r="J68" s="16">
        <v>20</v>
      </c>
      <c r="K68" s="24" t="s">
        <v>336</v>
      </c>
      <c r="L68" s="16">
        <v>10</v>
      </c>
      <c r="M68" s="16">
        <v>20</v>
      </c>
    </row>
    <row r="69" spans="1:13">
      <c r="A69" t="s">
        <v>22</v>
      </c>
      <c r="B69" s="12">
        <v>45407</v>
      </c>
      <c r="C69" s="17" t="s">
        <v>317</v>
      </c>
      <c r="D69" t="s">
        <v>19</v>
      </c>
      <c r="E69" s="16">
        <v>5</v>
      </c>
      <c r="F69" t="s">
        <v>27</v>
      </c>
      <c r="G69" t="s">
        <v>23</v>
      </c>
      <c r="H69" s="16" t="s">
        <v>311</v>
      </c>
      <c r="I69" t="s">
        <v>23</v>
      </c>
      <c r="J69" s="16">
        <v>0</v>
      </c>
      <c r="K69" s="24" t="s">
        <v>346</v>
      </c>
      <c r="L69" s="16">
        <v>0</v>
      </c>
      <c r="M69" s="16">
        <v>5</v>
      </c>
    </row>
    <row r="70" spans="1:13">
      <c r="A70" t="s">
        <v>18</v>
      </c>
      <c r="B70" s="12">
        <v>45408</v>
      </c>
      <c r="C70" s="17" t="s">
        <v>317</v>
      </c>
      <c r="D70" t="s">
        <v>23</v>
      </c>
      <c r="E70" s="16">
        <v>15</v>
      </c>
      <c r="F70" t="s">
        <v>20</v>
      </c>
      <c r="G70" t="s">
        <v>19</v>
      </c>
      <c r="H70" s="16">
        <v>30</v>
      </c>
      <c r="I70" t="s">
        <v>19</v>
      </c>
      <c r="J70" s="16">
        <v>20</v>
      </c>
      <c r="K70" s="24" t="s">
        <v>337</v>
      </c>
      <c r="L70" s="16">
        <v>5</v>
      </c>
      <c r="M70" s="16">
        <v>60</v>
      </c>
    </row>
    <row r="71" spans="1:13">
      <c r="A71" t="s">
        <v>26</v>
      </c>
      <c r="B71" s="12">
        <v>45409</v>
      </c>
      <c r="C71" s="17" t="s">
        <v>317</v>
      </c>
      <c r="D71" t="s">
        <v>19</v>
      </c>
      <c r="E71" s="16">
        <v>10</v>
      </c>
      <c r="F71" t="s">
        <v>24</v>
      </c>
      <c r="G71" t="s">
        <v>23</v>
      </c>
      <c r="H71" s="16" t="s">
        <v>311</v>
      </c>
      <c r="I71" t="s">
        <v>19</v>
      </c>
      <c r="J71" s="16">
        <v>20</v>
      </c>
      <c r="K71" s="24" t="s">
        <v>336</v>
      </c>
      <c r="L71" s="16">
        <v>15</v>
      </c>
      <c r="M71" s="16">
        <v>15</v>
      </c>
    </row>
    <row r="72" spans="1:13">
      <c r="A72" t="s">
        <v>22</v>
      </c>
      <c r="B72" s="12">
        <v>45410</v>
      </c>
      <c r="C72" s="17" t="s">
        <v>317</v>
      </c>
      <c r="D72" t="s">
        <v>23</v>
      </c>
      <c r="E72" s="16">
        <v>5</v>
      </c>
      <c r="F72" t="s">
        <v>20</v>
      </c>
      <c r="G72" t="s">
        <v>23</v>
      </c>
      <c r="H72" s="16" t="s">
        <v>311</v>
      </c>
      <c r="I72" t="s">
        <v>23</v>
      </c>
      <c r="J72" s="16">
        <v>0</v>
      </c>
      <c r="K72" s="24" t="s">
        <v>346</v>
      </c>
      <c r="L72" s="16">
        <v>1</v>
      </c>
      <c r="M72" s="16">
        <v>4</v>
      </c>
    </row>
    <row r="73" spans="1:13">
      <c r="A73" t="s">
        <v>18</v>
      </c>
      <c r="B73" s="12">
        <v>45411</v>
      </c>
      <c r="C73" s="17" t="s">
        <v>317</v>
      </c>
      <c r="D73" t="s">
        <v>19</v>
      </c>
      <c r="E73" s="16">
        <v>15</v>
      </c>
      <c r="F73" t="s">
        <v>27</v>
      </c>
      <c r="G73" t="s">
        <v>19</v>
      </c>
      <c r="H73" s="16">
        <v>30</v>
      </c>
      <c r="I73" t="s">
        <v>19</v>
      </c>
      <c r="J73" s="16">
        <v>20</v>
      </c>
      <c r="K73" s="24" t="s">
        <v>337</v>
      </c>
      <c r="L73" s="16">
        <v>20</v>
      </c>
      <c r="M73" s="16">
        <v>45</v>
      </c>
    </row>
    <row r="74" spans="1:13">
      <c r="A74" t="s">
        <v>26</v>
      </c>
      <c r="B74" s="12">
        <v>45412</v>
      </c>
      <c r="C74" s="17" t="s">
        <v>317</v>
      </c>
      <c r="D74" t="s">
        <v>23</v>
      </c>
      <c r="E74" s="16">
        <v>10</v>
      </c>
      <c r="F74" t="s">
        <v>20</v>
      </c>
      <c r="G74" t="s">
        <v>23</v>
      </c>
      <c r="H74" s="16" t="s">
        <v>311</v>
      </c>
      <c r="I74" t="s">
        <v>19</v>
      </c>
      <c r="J74" s="16">
        <v>20</v>
      </c>
      <c r="K74" s="24" t="s">
        <v>336</v>
      </c>
      <c r="L74" s="16">
        <v>5</v>
      </c>
      <c r="M74" s="16">
        <v>25</v>
      </c>
    </row>
    <row r="75" spans="1:13">
      <c r="A75" t="s">
        <v>22</v>
      </c>
      <c r="B75" s="12">
        <v>45413</v>
      </c>
      <c r="C75" s="17" t="s">
        <v>318</v>
      </c>
      <c r="D75" t="s">
        <v>23</v>
      </c>
      <c r="E75" s="16">
        <v>5</v>
      </c>
      <c r="F75" t="s">
        <v>20</v>
      </c>
      <c r="G75" t="s">
        <v>23</v>
      </c>
      <c r="H75" s="16" t="s">
        <v>311</v>
      </c>
      <c r="I75" t="s">
        <v>23</v>
      </c>
      <c r="J75" s="16">
        <v>0</v>
      </c>
      <c r="K75" s="24" t="s">
        <v>346</v>
      </c>
      <c r="L75" s="16">
        <v>0</v>
      </c>
      <c r="M75" s="16">
        <v>5</v>
      </c>
    </row>
    <row r="76" spans="1:13">
      <c r="A76" t="s">
        <v>18</v>
      </c>
      <c r="B76" s="12">
        <v>45414</v>
      </c>
      <c r="C76" s="17" t="s">
        <v>318</v>
      </c>
      <c r="D76" t="s">
        <v>19</v>
      </c>
      <c r="E76" s="16">
        <v>15</v>
      </c>
      <c r="F76" t="s">
        <v>27</v>
      </c>
      <c r="G76" t="s">
        <v>19</v>
      </c>
      <c r="H76" s="16">
        <v>30</v>
      </c>
      <c r="I76" t="s">
        <v>19</v>
      </c>
      <c r="J76" s="16">
        <v>20</v>
      </c>
      <c r="K76" s="24" t="s">
        <v>337</v>
      </c>
      <c r="L76" s="16">
        <v>7</v>
      </c>
      <c r="M76" s="16">
        <v>58</v>
      </c>
    </row>
    <row r="77" spans="1:13">
      <c r="A77" t="s">
        <v>26</v>
      </c>
      <c r="B77" s="12">
        <v>45415</v>
      </c>
      <c r="C77" s="17" t="s">
        <v>318</v>
      </c>
      <c r="D77" t="s">
        <v>23</v>
      </c>
      <c r="E77" s="16">
        <v>10</v>
      </c>
      <c r="F77" t="s">
        <v>24</v>
      </c>
      <c r="G77" t="s">
        <v>23</v>
      </c>
      <c r="H77" s="16" t="s">
        <v>311</v>
      </c>
      <c r="I77" t="s">
        <v>19</v>
      </c>
      <c r="J77" s="16">
        <v>20</v>
      </c>
      <c r="K77" s="24" t="s">
        <v>336</v>
      </c>
      <c r="L77" s="16">
        <v>10</v>
      </c>
      <c r="M77" s="16">
        <v>20</v>
      </c>
    </row>
    <row r="78" spans="1:13">
      <c r="A78" t="s">
        <v>22</v>
      </c>
      <c r="B78" s="12">
        <v>45415</v>
      </c>
      <c r="C78" s="17" t="s">
        <v>318</v>
      </c>
      <c r="D78" t="s">
        <v>19</v>
      </c>
      <c r="E78" s="16">
        <v>5</v>
      </c>
      <c r="F78" t="s">
        <v>27</v>
      </c>
      <c r="G78" t="s">
        <v>19</v>
      </c>
      <c r="H78" s="16">
        <v>30</v>
      </c>
      <c r="I78" t="s">
        <v>23</v>
      </c>
      <c r="J78" s="16">
        <v>0</v>
      </c>
      <c r="K78" s="24" t="s">
        <v>338</v>
      </c>
      <c r="L78" s="16">
        <v>0</v>
      </c>
      <c r="M78" s="16">
        <f>SUM(E78,H78,J78)-tbl_data[[#This Row],[Coupon Value]]</f>
        <v>35</v>
      </c>
    </row>
    <row r="79" spans="1:13">
      <c r="A79" t="s">
        <v>22</v>
      </c>
      <c r="B79" s="12">
        <v>45416</v>
      </c>
      <c r="C79" s="17" t="s">
        <v>318</v>
      </c>
      <c r="D79" t="s">
        <v>19</v>
      </c>
      <c r="E79" s="16">
        <v>5</v>
      </c>
      <c r="F79" t="s">
        <v>27</v>
      </c>
      <c r="G79" t="s">
        <v>23</v>
      </c>
      <c r="H79" s="16" t="s">
        <v>311</v>
      </c>
      <c r="I79" t="s">
        <v>23</v>
      </c>
      <c r="J79" s="16">
        <v>0</v>
      </c>
      <c r="K79" s="24" t="s">
        <v>346</v>
      </c>
      <c r="L79" s="16">
        <v>1</v>
      </c>
      <c r="M79" s="16">
        <v>4</v>
      </c>
    </row>
    <row r="80" spans="1:13">
      <c r="A80" t="s">
        <v>18</v>
      </c>
      <c r="B80" s="12">
        <v>45417</v>
      </c>
      <c r="C80" s="17" t="s">
        <v>318</v>
      </c>
      <c r="D80" t="s">
        <v>23</v>
      </c>
      <c r="E80" s="16">
        <v>15</v>
      </c>
      <c r="F80" t="s">
        <v>20</v>
      </c>
      <c r="G80" t="s">
        <v>19</v>
      </c>
      <c r="H80" s="16">
        <v>30</v>
      </c>
      <c r="I80" t="s">
        <v>19</v>
      </c>
      <c r="J80" s="16">
        <v>20</v>
      </c>
      <c r="K80" s="24" t="s">
        <v>337</v>
      </c>
      <c r="L80" s="16">
        <v>15</v>
      </c>
      <c r="M80" s="16">
        <v>50</v>
      </c>
    </row>
    <row r="81" spans="1:13">
      <c r="A81" t="s">
        <v>26</v>
      </c>
      <c r="B81" s="12">
        <v>45418</v>
      </c>
      <c r="C81" s="17" t="s">
        <v>318</v>
      </c>
      <c r="D81" t="s">
        <v>19</v>
      </c>
      <c r="E81" s="16">
        <v>10</v>
      </c>
      <c r="F81" t="s">
        <v>20</v>
      </c>
      <c r="G81" t="s">
        <v>23</v>
      </c>
      <c r="H81" s="16" t="s">
        <v>311</v>
      </c>
      <c r="I81" t="s">
        <v>19</v>
      </c>
      <c r="J81" s="16">
        <v>20</v>
      </c>
      <c r="K81" s="24" t="s">
        <v>336</v>
      </c>
      <c r="L81" s="16">
        <v>5</v>
      </c>
      <c r="M81" s="16">
        <v>25</v>
      </c>
    </row>
    <row r="82" spans="1:13">
      <c r="A82" t="s">
        <v>22</v>
      </c>
      <c r="B82" s="12">
        <v>45419</v>
      </c>
      <c r="C82" s="17" t="s">
        <v>318</v>
      </c>
      <c r="D82" t="s">
        <v>23</v>
      </c>
      <c r="E82" s="16">
        <v>5</v>
      </c>
      <c r="F82" t="s">
        <v>24</v>
      </c>
      <c r="G82" t="s">
        <v>23</v>
      </c>
      <c r="H82" s="16" t="s">
        <v>311</v>
      </c>
      <c r="I82" t="s">
        <v>23</v>
      </c>
      <c r="J82" s="16">
        <v>0</v>
      </c>
      <c r="K82" s="24" t="s">
        <v>346</v>
      </c>
      <c r="L82" s="16">
        <v>0</v>
      </c>
      <c r="M82" s="16">
        <v>5</v>
      </c>
    </row>
    <row r="83" spans="1:13">
      <c r="A83" t="s">
        <v>18</v>
      </c>
      <c r="B83" s="12">
        <v>45420</v>
      </c>
      <c r="C83" s="17" t="s">
        <v>318</v>
      </c>
      <c r="D83" t="s">
        <v>19</v>
      </c>
      <c r="E83" s="16">
        <v>15</v>
      </c>
      <c r="F83" t="s">
        <v>27</v>
      </c>
      <c r="G83" t="s">
        <v>19</v>
      </c>
      <c r="H83" s="16">
        <v>30</v>
      </c>
      <c r="I83" t="s">
        <v>19</v>
      </c>
      <c r="J83" s="16">
        <v>20</v>
      </c>
      <c r="K83" s="24" t="s">
        <v>337</v>
      </c>
      <c r="L83" s="16">
        <v>20</v>
      </c>
      <c r="M83" s="16">
        <v>45</v>
      </c>
    </row>
    <row r="84" spans="1:13">
      <c r="A84" t="s">
        <v>26</v>
      </c>
      <c r="B84" s="12">
        <v>45421</v>
      </c>
      <c r="C84" s="17" t="s">
        <v>318</v>
      </c>
      <c r="D84" t="s">
        <v>23</v>
      </c>
      <c r="E84" s="16">
        <v>10</v>
      </c>
      <c r="F84" t="s">
        <v>27</v>
      </c>
      <c r="G84" t="s">
        <v>23</v>
      </c>
      <c r="H84" s="16" t="s">
        <v>311</v>
      </c>
      <c r="I84" t="s">
        <v>19</v>
      </c>
      <c r="J84" s="16">
        <v>20</v>
      </c>
      <c r="K84" s="24" t="s">
        <v>336</v>
      </c>
      <c r="L84" s="16">
        <v>12</v>
      </c>
      <c r="M84" s="16">
        <v>18</v>
      </c>
    </row>
    <row r="85" spans="1:13">
      <c r="A85" t="s">
        <v>22</v>
      </c>
      <c r="B85" s="12">
        <v>45421</v>
      </c>
      <c r="C85" s="17" t="s">
        <v>318</v>
      </c>
      <c r="D85" t="s">
        <v>19</v>
      </c>
      <c r="E85" s="16">
        <v>5</v>
      </c>
      <c r="F85" t="s">
        <v>24</v>
      </c>
      <c r="G85" t="s">
        <v>19</v>
      </c>
      <c r="H85" s="16">
        <v>30</v>
      </c>
      <c r="I85" t="s">
        <v>23</v>
      </c>
      <c r="J85" s="16">
        <v>0</v>
      </c>
      <c r="K85" s="24" t="s">
        <v>338</v>
      </c>
      <c r="L85" s="16">
        <v>0</v>
      </c>
      <c r="M85" s="16">
        <f>SUM(E85,H85,J85)-tbl_data[[#This Row],[Coupon Value]]</f>
        <v>35</v>
      </c>
    </row>
    <row r="86" spans="1:13">
      <c r="A86" t="s">
        <v>22</v>
      </c>
      <c r="B86" s="12">
        <v>45422</v>
      </c>
      <c r="C86" s="17" t="s">
        <v>318</v>
      </c>
      <c r="D86" t="s">
        <v>19</v>
      </c>
      <c r="E86" s="16">
        <v>5</v>
      </c>
      <c r="F86" t="s">
        <v>20</v>
      </c>
      <c r="G86" t="s">
        <v>23</v>
      </c>
      <c r="H86" s="16" t="s">
        <v>311</v>
      </c>
      <c r="I86" t="s">
        <v>23</v>
      </c>
      <c r="J86" s="16">
        <v>0</v>
      </c>
      <c r="K86" s="24" t="s">
        <v>346</v>
      </c>
      <c r="L86" s="16">
        <v>2</v>
      </c>
      <c r="M86" s="16">
        <v>3</v>
      </c>
    </row>
    <row r="87" spans="1:13">
      <c r="A87" t="s">
        <v>18</v>
      </c>
      <c r="B87" s="12">
        <v>45423</v>
      </c>
      <c r="C87" s="17" t="s">
        <v>318</v>
      </c>
      <c r="D87" t="s">
        <v>23</v>
      </c>
      <c r="E87" s="16">
        <v>15</v>
      </c>
      <c r="F87" t="s">
        <v>24</v>
      </c>
      <c r="G87" t="s">
        <v>19</v>
      </c>
      <c r="H87" s="16">
        <v>30</v>
      </c>
      <c r="I87" t="s">
        <v>19</v>
      </c>
      <c r="J87" s="16">
        <v>20</v>
      </c>
      <c r="K87" s="24" t="s">
        <v>337</v>
      </c>
      <c r="L87" s="16">
        <v>5</v>
      </c>
      <c r="M87" s="16">
        <v>60</v>
      </c>
    </row>
    <row r="88" spans="1:13">
      <c r="A88" t="s">
        <v>26</v>
      </c>
      <c r="B88" s="12">
        <v>45424</v>
      </c>
      <c r="C88" s="17" t="s">
        <v>318</v>
      </c>
      <c r="D88" t="s">
        <v>19</v>
      </c>
      <c r="E88" s="16">
        <v>10</v>
      </c>
      <c r="F88" t="s">
        <v>20</v>
      </c>
      <c r="G88" t="s">
        <v>23</v>
      </c>
      <c r="H88" s="16" t="s">
        <v>311</v>
      </c>
      <c r="I88" t="s">
        <v>19</v>
      </c>
      <c r="J88" s="16">
        <v>20</v>
      </c>
      <c r="K88" s="24" t="s">
        <v>336</v>
      </c>
      <c r="L88" s="16">
        <v>10</v>
      </c>
      <c r="M88" s="16">
        <v>20</v>
      </c>
    </row>
    <row r="89" spans="1:13">
      <c r="A89" t="s">
        <v>22</v>
      </c>
      <c r="B89" s="12">
        <v>45425</v>
      </c>
      <c r="C89" s="17" t="s">
        <v>318</v>
      </c>
      <c r="D89" t="s">
        <v>23</v>
      </c>
      <c r="E89" s="16">
        <v>5</v>
      </c>
      <c r="F89" t="s">
        <v>27</v>
      </c>
      <c r="G89" t="s">
        <v>23</v>
      </c>
      <c r="H89" s="16" t="s">
        <v>311</v>
      </c>
      <c r="I89" t="s">
        <v>23</v>
      </c>
      <c r="J89" s="16">
        <v>0</v>
      </c>
      <c r="K89" s="24" t="s">
        <v>346</v>
      </c>
      <c r="L89" s="16">
        <v>0</v>
      </c>
      <c r="M89" s="16">
        <v>5</v>
      </c>
    </row>
    <row r="90" spans="1:13">
      <c r="A90" t="s">
        <v>18</v>
      </c>
      <c r="B90" s="12">
        <v>45425</v>
      </c>
      <c r="C90" s="17" t="s">
        <v>318</v>
      </c>
      <c r="D90" t="s">
        <v>23</v>
      </c>
      <c r="E90" s="16">
        <v>15</v>
      </c>
      <c r="F90" t="s">
        <v>20</v>
      </c>
      <c r="G90" t="s">
        <v>19</v>
      </c>
      <c r="H90" s="16">
        <v>30</v>
      </c>
      <c r="I90" t="s">
        <v>23</v>
      </c>
      <c r="J90" s="16">
        <v>0</v>
      </c>
      <c r="K90" s="24" t="s">
        <v>338</v>
      </c>
      <c r="L90" s="16">
        <v>20</v>
      </c>
      <c r="M90" s="16">
        <f>SUM(E90,H90,J90)-tbl_data[[#This Row],[Coupon Value]]</f>
        <v>25</v>
      </c>
    </row>
    <row r="91" spans="1:13">
      <c r="A91" t="s">
        <v>18</v>
      </c>
      <c r="B91" s="12">
        <v>45426</v>
      </c>
      <c r="C91" s="17" t="s">
        <v>318</v>
      </c>
      <c r="D91" t="s">
        <v>19</v>
      </c>
      <c r="E91" s="16">
        <v>15</v>
      </c>
      <c r="F91" t="s">
        <v>20</v>
      </c>
      <c r="G91" t="s">
        <v>19</v>
      </c>
      <c r="H91" s="16">
        <v>30</v>
      </c>
      <c r="I91" t="s">
        <v>19</v>
      </c>
      <c r="J91" s="16">
        <v>20</v>
      </c>
      <c r="K91" s="24" t="s">
        <v>337</v>
      </c>
      <c r="L91" s="16">
        <v>3</v>
      </c>
      <c r="M91" s="16">
        <v>62</v>
      </c>
    </row>
    <row r="92" spans="1:13">
      <c r="A92" t="s">
        <v>26</v>
      </c>
      <c r="B92" s="12">
        <v>45427</v>
      </c>
      <c r="C92" s="17" t="s">
        <v>318</v>
      </c>
      <c r="D92" t="s">
        <v>23</v>
      </c>
      <c r="E92" s="16">
        <v>10</v>
      </c>
      <c r="F92" t="s">
        <v>24</v>
      </c>
      <c r="G92" t="s">
        <v>23</v>
      </c>
      <c r="H92" s="16" t="s">
        <v>311</v>
      </c>
      <c r="I92" t="s">
        <v>19</v>
      </c>
      <c r="J92" s="16">
        <v>20</v>
      </c>
      <c r="K92" s="24" t="s">
        <v>336</v>
      </c>
      <c r="L92" s="16">
        <v>15</v>
      </c>
      <c r="M92" s="16">
        <v>15</v>
      </c>
    </row>
    <row r="93" spans="1:13">
      <c r="A93" t="s">
        <v>18</v>
      </c>
      <c r="B93" s="12">
        <v>45427</v>
      </c>
      <c r="C93" s="17" t="s">
        <v>318</v>
      </c>
      <c r="D93" t="s">
        <v>23</v>
      </c>
      <c r="E93" s="16">
        <v>15</v>
      </c>
      <c r="F93" t="s">
        <v>20</v>
      </c>
      <c r="G93" t="s">
        <v>19</v>
      </c>
      <c r="H93" s="16">
        <v>30</v>
      </c>
      <c r="I93" t="s">
        <v>23</v>
      </c>
      <c r="J93" s="16">
        <v>0</v>
      </c>
      <c r="K93" s="24" t="s">
        <v>338</v>
      </c>
      <c r="L93" s="16">
        <v>15</v>
      </c>
      <c r="M93" s="16">
        <f>SUM(E93,H93,J93)-tbl_data[[#This Row],[Coupon Value]]</f>
        <v>30</v>
      </c>
    </row>
    <row r="94" spans="1:13">
      <c r="A94" t="s">
        <v>22</v>
      </c>
      <c r="B94" s="12">
        <v>45428</v>
      </c>
      <c r="C94" s="17" t="s">
        <v>318</v>
      </c>
      <c r="D94" t="s">
        <v>19</v>
      </c>
      <c r="E94" s="16">
        <v>5</v>
      </c>
      <c r="F94" t="s">
        <v>20</v>
      </c>
      <c r="G94" t="s">
        <v>23</v>
      </c>
      <c r="H94" s="16" t="s">
        <v>311</v>
      </c>
      <c r="I94" t="s">
        <v>23</v>
      </c>
      <c r="J94" s="16">
        <v>0</v>
      </c>
      <c r="K94" s="24" t="s">
        <v>346</v>
      </c>
      <c r="L94" s="16">
        <v>1</v>
      </c>
      <c r="M94" s="16">
        <v>4</v>
      </c>
    </row>
    <row r="95" spans="1:13">
      <c r="A95" t="s">
        <v>18</v>
      </c>
      <c r="B95" s="12">
        <v>45429</v>
      </c>
      <c r="C95" s="17" t="s">
        <v>318</v>
      </c>
      <c r="D95" t="s">
        <v>23</v>
      </c>
      <c r="E95" s="16">
        <v>15</v>
      </c>
      <c r="F95" t="s">
        <v>27</v>
      </c>
      <c r="G95" t="s">
        <v>19</v>
      </c>
      <c r="H95" s="16">
        <v>30</v>
      </c>
      <c r="I95" t="s">
        <v>19</v>
      </c>
      <c r="J95" s="16">
        <v>20</v>
      </c>
      <c r="K95" s="24" t="s">
        <v>337</v>
      </c>
      <c r="L95" s="16">
        <v>7</v>
      </c>
      <c r="M95" s="16">
        <v>58</v>
      </c>
    </row>
    <row r="96" spans="1:13">
      <c r="A96" t="s">
        <v>26</v>
      </c>
      <c r="B96" s="12">
        <v>45430</v>
      </c>
      <c r="C96" s="17" t="s">
        <v>318</v>
      </c>
      <c r="D96" t="s">
        <v>19</v>
      </c>
      <c r="E96" s="16">
        <v>10</v>
      </c>
      <c r="F96" t="s">
        <v>20</v>
      </c>
      <c r="G96" t="s">
        <v>23</v>
      </c>
      <c r="H96" s="16" t="s">
        <v>311</v>
      </c>
      <c r="I96" t="s">
        <v>19</v>
      </c>
      <c r="J96" s="16">
        <v>20</v>
      </c>
      <c r="K96" s="24" t="s">
        <v>336</v>
      </c>
      <c r="L96" s="16">
        <v>10</v>
      </c>
      <c r="M96" s="16">
        <v>20</v>
      </c>
    </row>
    <row r="97" spans="1:13">
      <c r="A97" t="s">
        <v>22</v>
      </c>
      <c r="B97" s="12">
        <v>45431</v>
      </c>
      <c r="C97" s="17" t="s">
        <v>318</v>
      </c>
      <c r="D97" t="s">
        <v>23</v>
      </c>
      <c r="E97" s="16">
        <v>5</v>
      </c>
      <c r="F97" t="s">
        <v>24</v>
      </c>
      <c r="G97" t="s">
        <v>23</v>
      </c>
      <c r="H97" s="16" t="s">
        <v>311</v>
      </c>
      <c r="I97" t="s">
        <v>23</v>
      </c>
      <c r="J97" s="16">
        <v>0</v>
      </c>
      <c r="K97" s="24" t="s">
        <v>346</v>
      </c>
      <c r="L97" s="16">
        <v>0</v>
      </c>
      <c r="M97" s="16">
        <v>5</v>
      </c>
    </row>
    <row r="98" spans="1:13">
      <c r="A98" t="s">
        <v>18</v>
      </c>
      <c r="B98" s="12">
        <v>45432</v>
      </c>
      <c r="C98" s="17" t="s">
        <v>318</v>
      </c>
      <c r="D98" t="s">
        <v>19</v>
      </c>
      <c r="E98" s="16">
        <v>15</v>
      </c>
      <c r="F98" t="s">
        <v>20</v>
      </c>
      <c r="G98" t="s">
        <v>19</v>
      </c>
      <c r="H98" s="16">
        <v>30</v>
      </c>
      <c r="I98" t="s">
        <v>19</v>
      </c>
      <c r="J98" s="16">
        <v>20</v>
      </c>
      <c r="K98" s="24" t="s">
        <v>337</v>
      </c>
      <c r="L98" s="16">
        <v>20</v>
      </c>
      <c r="M98" s="16">
        <v>45</v>
      </c>
    </row>
    <row r="99" spans="1:13">
      <c r="A99" t="s">
        <v>26</v>
      </c>
      <c r="B99" s="12">
        <v>45433</v>
      </c>
      <c r="C99" s="17" t="s">
        <v>318</v>
      </c>
      <c r="D99" t="s">
        <v>23</v>
      </c>
      <c r="E99" s="16">
        <v>10</v>
      </c>
      <c r="F99" t="s">
        <v>27</v>
      </c>
      <c r="G99" t="s">
        <v>23</v>
      </c>
      <c r="H99" s="16" t="s">
        <v>311</v>
      </c>
      <c r="I99" t="s">
        <v>19</v>
      </c>
      <c r="J99" s="16">
        <v>20</v>
      </c>
      <c r="K99" s="24" t="s">
        <v>336</v>
      </c>
      <c r="L99" s="16">
        <v>15</v>
      </c>
      <c r="M99" s="16">
        <v>15</v>
      </c>
    </row>
    <row r="100" spans="1:13">
      <c r="A100" t="s">
        <v>22</v>
      </c>
      <c r="B100" s="12">
        <v>45434</v>
      </c>
      <c r="C100" s="17" t="s">
        <v>318</v>
      </c>
      <c r="D100" t="s">
        <v>19</v>
      </c>
      <c r="E100" s="16">
        <v>5</v>
      </c>
      <c r="F100" t="s">
        <v>20</v>
      </c>
      <c r="G100" t="s">
        <v>23</v>
      </c>
      <c r="H100" s="16" t="s">
        <v>311</v>
      </c>
      <c r="I100" t="s">
        <v>23</v>
      </c>
      <c r="J100" s="16">
        <v>0</v>
      </c>
      <c r="K100" s="24" t="s">
        <v>346</v>
      </c>
      <c r="L100" s="16">
        <v>1</v>
      </c>
      <c r="M100" s="16">
        <v>4</v>
      </c>
    </row>
    <row r="101" spans="1:13">
      <c r="A101" t="s">
        <v>18</v>
      </c>
      <c r="B101" s="12">
        <v>45435</v>
      </c>
      <c r="C101" s="17" t="s">
        <v>318</v>
      </c>
      <c r="D101" t="s">
        <v>23</v>
      </c>
      <c r="E101" s="16">
        <v>15</v>
      </c>
      <c r="F101" t="s">
        <v>24</v>
      </c>
      <c r="G101" t="s">
        <v>19</v>
      </c>
      <c r="H101" s="16">
        <v>30</v>
      </c>
      <c r="I101" t="s">
        <v>19</v>
      </c>
      <c r="J101" s="16">
        <v>20</v>
      </c>
      <c r="K101" s="24" t="s">
        <v>337</v>
      </c>
      <c r="L101" s="16">
        <v>3</v>
      </c>
      <c r="M101" s="16">
        <v>62</v>
      </c>
    </row>
    <row r="102" spans="1:13">
      <c r="A102" t="s">
        <v>26</v>
      </c>
      <c r="B102" s="12">
        <v>45436</v>
      </c>
      <c r="C102" s="17" t="s">
        <v>318</v>
      </c>
      <c r="D102" t="s">
        <v>19</v>
      </c>
      <c r="E102" s="16">
        <v>10</v>
      </c>
      <c r="F102" t="s">
        <v>20</v>
      </c>
      <c r="G102" t="s">
        <v>23</v>
      </c>
      <c r="H102" s="16" t="s">
        <v>311</v>
      </c>
      <c r="I102" t="s">
        <v>19</v>
      </c>
      <c r="J102" s="16">
        <v>20</v>
      </c>
      <c r="K102" s="24" t="s">
        <v>336</v>
      </c>
      <c r="L102" s="16">
        <v>10</v>
      </c>
      <c r="M102" s="16">
        <v>20</v>
      </c>
    </row>
    <row r="103" spans="1:13">
      <c r="A103" t="s">
        <v>22</v>
      </c>
      <c r="B103" s="12">
        <v>45437</v>
      </c>
      <c r="C103" s="17" t="s">
        <v>318</v>
      </c>
      <c r="D103" t="s">
        <v>23</v>
      </c>
      <c r="E103" s="16">
        <v>5</v>
      </c>
      <c r="F103" t="s">
        <v>27</v>
      </c>
      <c r="G103" t="s">
        <v>23</v>
      </c>
      <c r="H103" s="16" t="s">
        <v>311</v>
      </c>
      <c r="I103" t="s">
        <v>23</v>
      </c>
      <c r="J103" s="16">
        <v>0</v>
      </c>
      <c r="K103" s="24" t="s">
        <v>346</v>
      </c>
      <c r="L103" s="16">
        <v>0</v>
      </c>
      <c r="M103" s="16">
        <v>5</v>
      </c>
    </row>
    <row r="104" spans="1:13">
      <c r="A104" t="s">
        <v>18</v>
      </c>
      <c r="B104" s="12">
        <v>45438</v>
      </c>
      <c r="C104" s="17" t="s">
        <v>318</v>
      </c>
      <c r="D104" t="s">
        <v>19</v>
      </c>
      <c r="E104" s="16">
        <v>15</v>
      </c>
      <c r="F104" t="s">
        <v>20</v>
      </c>
      <c r="G104" t="s">
        <v>19</v>
      </c>
      <c r="H104" s="16">
        <v>30</v>
      </c>
      <c r="I104" t="s">
        <v>19</v>
      </c>
      <c r="J104" s="16">
        <v>20</v>
      </c>
      <c r="K104" s="24" t="s">
        <v>337</v>
      </c>
      <c r="L104" s="16">
        <v>5</v>
      </c>
      <c r="M104" s="16">
        <v>60</v>
      </c>
    </row>
    <row r="105" spans="1:13">
      <c r="A105" t="s">
        <v>26</v>
      </c>
      <c r="B105" s="12">
        <v>45439</v>
      </c>
      <c r="C105" s="17" t="s">
        <v>318</v>
      </c>
      <c r="D105" t="s">
        <v>23</v>
      </c>
      <c r="E105" s="16">
        <v>10</v>
      </c>
      <c r="F105" t="s">
        <v>24</v>
      </c>
      <c r="G105" t="s">
        <v>23</v>
      </c>
      <c r="H105" s="16" t="s">
        <v>311</v>
      </c>
      <c r="I105" t="s">
        <v>19</v>
      </c>
      <c r="J105" s="16">
        <v>20</v>
      </c>
      <c r="K105" s="24" t="s">
        <v>336</v>
      </c>
      <c r="L105" s="16">
        <v>15</v>
      </c>
      <c r="M105" s="16">
        <v>15</v>
      </c>
    </row>
    <row r="106" spans="1:13">
      <c r="A106" t="s">
        <v>22</v>
      </c>
      <c r="B106" s="12">
        <v>45440</v>
      </c>
      <c r="C106" s="17" t="s">
        <v>318</v>
      </c>
      <c r="D106" t="s">
        <v>19</v>
      </c>
      <c r="E106" s="16">
        <v>5</v>
      </c>
      <c r="F106" t="s">
        <v>20</v>
      </c>
      <c r="G106" t="s">
        <v>23</v>
      </c>
      <c r="H106" s="16" t="s">
        <v>311</v>
      </c>
      <c r="I106" t="s">
        <v>23</v>
      </c>
      <c r="J106" s="16">
        <v>0</v>
      </c>
      <c r="K106" s="24" t="s">
        <v>346</v>
      </c>
      <c r="L106" s="16">
        <v>1</v>
      </c>
      <c r="M106" s="16">
        <v>4</v>
      </c>
    </row>
    <row r="107" spans="1:13">
      <c r="A107" t="s">
        <v>18</v>
      </c>
      <c r="B107" s="12">
        <v>45441</v>
      </c>
      <c r="C107" s="17" t="s">
        <v>318</v>
      </c>
      <c r="D107" t="s">
        <v>23</v>
      </c>
      <c r="E107" s="16">
        <v>15</v>
      </c>
      <c r="F107" t="s">
        <v>27</v>
      </c>
      <c r="G107" t="s">
        <v>19</v>
      </c>
      <c r="H107" s="16">
        <v>30</v>
      </c>
      <c r="I107" t="s">
        <v>19</v>
      </c>
      <c r="J107" s="16">
        <v>20</v>
      </c>
      <c r="K107" s="24" t="s">
        <v>337</v>
      </c>
      <c r="L107" s="16">
        <v>20</v>
      </c>
      <c r="M107" s="16">
        <v>45</v>
      </c>
    </row>
    <row r="108" spans="1:13">
      <c r="A108" t="s">
        <v>26</v>
      </c>
      <c r="B108" s="12">
        <v>45442</v>
      </c>
      <c r="C108" s="17" t="s">
        <v>318</v>
      </c>
      <c r="D108" t="s">
        <v>19</v>
      </c>
      <c r="E108" s="16">
        <v>10</v>
      </c>
      <c r="F108" t="s">
        <v>27</v>
      </c>
      <c r="G108" t="s">
        <v>23</v>
      </c>
      <c r="H108" s="16" t="s">
        <v>311</v>
      </c>
      <c r="I108" t="s">
        <v>19</v>
      </c>
      <c r="J108" s="16">
        <v>20</v>
      </c>
      <c r="K108" s="24" t="s">
        <v>336</v>
      </c>
      <c r="L108" s="16">
        <v>15</v>
      </c>
      <c r="M108" s="16">
        <v>15</v>
      </c>
    </row>
    <row r="109" spans="1:13">
      <c r="A109" t="s">
        <v>26</v>
      </c>
      <c r="B109" s="12">
        <v>45442</v>
      </c>
      <c r="C109" s="17" t="s">
        <v>318</v>
      </c>
      <c r="D109" t="s">
        <v>23</v>
      </c>
      <c r="E109" s="16">
        <v>10</v>
      </c>
      <c r="F109" t="s">
        <v>20</v>
      </c>
      <c r="G109" t="s">
        <v>19</v>
      </c>
      <c r="H109" s="16">
        <v>30</v>
      </c>
      <c r="I109" t="s">
        <v>23</v>
      </c>
      <c r="J109" s="16">
        <v>0</v>
      </c>
      <c r="K109" s="24" t="s">
        <v>338</v>
      </c>
      <c r="L109" s="16">
        <v>10</v>
      </c>
      <c r="M109" s="16">
        <f>SUM(E109,H109,J109)-tbl_data[[#This Row],[Coupon Value]]</f>
        <v>30</v>
      </c>
    </row>
    <row r="110" spans="1:13">
      <c r="A110" t="s">
        <v>22</v>
      </c>
      <c r="B110" s="12">
        <v>45443</v>
      </c>
      <c r="C110" s="17" t="s">
        <v>318</v>
      </c>
      <c r="D110" t="s">
        <v>23</v>
      </c>
      <c r="E110" s="16">
        <v>5</v>
      </c>
      <c r="F110" t="s">
        <v>24</v>
      </c>
      <c r="G110" t="s">
        <v>23</v>
      </c>
      <c r="H110" s="16" t="s">
        <v>311</v>
      </c>
      <c r="I110" t="s">
        <v>23</v>
      </c>
      <c r="J110" s="16">
        <v>0</v>
      </c>
      <c r="K110" s="24" t="s">
        <v>346</v>
      </c>
      <c r="L110" s="16">
        <v>0</v>
      </c>
      <c r="M110" s="16">
        <v>5</v>
      </c>
    </row>
    <row r="111" spans="1:13">
      <c r="A111" t="s">
        <v>18</v>
      </c>
      <c r="B111" s="12">
        <v>45444</v>
      </c>
      <c r="C111" s="17" t="s">
        <v>319</v>
      </c>
      <c r="D111" t="s">
        <v>19</v>
      </c>
      <c r="E111" s="16">
        <v>15</v>
      </c>
      <c r="F111" t="s">
        <v>20</v>
      </c>
      <c r="G111" t="s">
        <v>19</v>
      </c>
      <c r="H111" s="16">
        <v>30</v>
      </c>
      <c r="I111" t="s">
        <v>19</v>
      </c>
      <c r="J111" s="16">
        <v>20</v>
      </c>
      <c r="K111" s="24" t="s">
        <v>337</v>
      </c>
      <c r="L111" s="16">
        <v>7</v>
      </c>
      <c r="M111" s="16">
        <v>58</v>
      </c>
    </row>
    <row r="112" spans="1:13">
      <c r="A112" t="s">
        <v>26</v>
      </c>
      <c r="B112" s="12">
        <v>45445</v>
      </c>
      <c r="C112" s="17" t="s">
        <v>319</v>
      </c>
      <c r="D112" t="s">
        <v>23</v>
      </c>
      <c r="E112" s="16">
        <v>10</v>
      </c>
      <c r="F112" t="s">
        <v>24</v>
      </c>
      <c r="G112" t="s">
        <v>23</v>
      </c>
      <c r="H112" s="16" t="s">
        <v>311</v>
      </c>
      <c r="I112" t="s">
        <v>19</v>
      </c>
      <c r="J112" s="16">
        <v>20</v>
      </c>
      <c r="K112" s="24" t="s">
        <v>336</v>
      </c>
      <c r="L112" s="16">
        <v>10</v>
      </c>
      <c r="M112" s="16">
        <v>20</v>
      </c>
    </row>
    <row r="113" spans="1:13">
      <c r="A113" t="s">
        <v>22</v>
      </c>
      <c r="B113" s="12">
        <v>45446</v>
      </c>
      <c r="C113" s="17" t="s">
        <v>319</v>
      </c>
      <c r="D113" t="s">
        <v>19</v>
      </c>
      <c r="E113" s="16">
        <v>5</v>
      </c>
      <c r="F113" t="s">
        <v>27</v>
      </c>
      <c r="G113" t="s">
        <v>23</v>
      </c>
      <c r="H113" s="16" t="s">
        <v>311</v>
      </c>
      <c r="I113" t="s">
        <v>23</v>
      </c>
      <c r="J113" s="16">
        <v>0</v>
      </c>
      <c r="K113" s="24" t="s">
        <v>346</v>
      </c>
      <c r="L113" s="16">
        <v>1</v>
      </c>
      <c r="M113" s="16">
        <v>4</v>
      </c>
    </row>
    <row r="114" spans="1:13">
      <c r="A114" t="s">
        <v>18</v>
      </c>
      <c r="B114" s="12">
        <v>45447</v>
      </c>
      <c r="C114" s="17" t="s">
        <v>319</v>
      </c>
      <c r="D114" t="s">
        <v>23</v>
      </c>
      <c r="E114" s="16">
        <v>15</v>
      </c>
      <c r="F114" t="s">
        <v>20</v>
      </c>
      <c r="G114" t="s">
        <v>19</v>
      </c>
      <c r="H114" s="16">
        <v>30</v>
      </c>
      <c r="I114" t="s">
        <v>19</v>
      </c>
      <c r="J114" s="16">
        <v>20</v>
      </c>
      <c r="K114" s="24" t="s">
        <v>337</v>
      </c>
      <c r="L114" s="16">
        <v>15</v>
      </c>
      <c r="M114" s="16">
        <v>50</v>
      </c>
    </row>
    <row r="115" spans="1:13">
      <c r="A115" t="s">
        <v>26</v>
      </c>
      <c r="B115" s="12">
        <v>45448</v>
      </c>
      <c r="C115" s="17" t="s">
        <v>319</v>
      </c>
      <c r="D115" t="s">
        <v>19</v>
      </c>
      <c r="E115" s="16">
        <v>10</v>
      </c>
      <c r="F115" t="s">
        <v>20</v>
      </c>
      <c r="G115" t="s">
        <v>23</v>
      </c>
      <c r="H115" s="16" t="s">
        <v>311</v>
      </c>
      <c r="I115" t="s">
        <v>19</v>
      </c>
      <c r="J115" s="16">
        <v>20</v>
      </c>
      <c r="K115" s="24" t="s">
        <v>336</v>
      </c>
      <c r="L115" s="16">
        <v>5</v>
      </c>
      <c r="M115" s="16">
        <v>25</v>
      </c>
    </row>
    <row r="116" spans="1:13">
      <c r="A116" t="s">
        <v>26</v>
      </c>
      <c r="B116" s="12">
        <v>45448</v>
      </c>
      <c r="C116" s="17" t="s">
        <v>319</v>
      </c>
      <c r="D116" t="s">
        <v>23</v>
      </c>
      <c r="E116" s="16">
        <v>10</v>
      </c>
      <c r="F116" t="s">
        <v>20</v>
      </c>
      <c r="G116" t="s">
        <v>19</v>
      </c>
      <c r="H116" s="16">
        <v>30</v>
      </c>
      <c r="I116" t="s">
        <v>23</v>
      </c>
      <c r="J116" s="16">
        <v>0</v>
      </c>
      <c r="K116" s="24" t="s">
        <v>338</v>
      </c>
      <c r="L116" s="16">
        <v>10</v>
      </c>
      <c r="M116" s="16">
        <f>SUM(E116,H116,J116)-tbl_data[[#This Row],[Coupon Value]]</f>
        <v>30</v>
      </c>
    </row>
    <row r="117" spans="1:13">
      <c r="A117" t="s">
        <v>22</v>
      </c>
      <c r="B117" s="12">
        <v>45449</v>
      </c>
      <c r="C117" s="17" t="s">
        <v>319</v>
      </c>
      <c r="D117" t="s">
        <v>23</v>
      </c>
      <c r="E117" s="16">
        <v>5</v>
      </c>
      <c r="F117" t="s">
        <v>24</v>
      </c>
      <c r="G117" t="s">
        <v>23</v>
      </c>
      <c r="H117" s="16" t="s">
        <v>311</v>
      </c>
      <c r="I117" t="s">
        <v>23</v>
      </c>
      <c r="J117" s="16">
        <v>0</v>
      </c>
      <c r="K117" s="24" t="s">
        <v>346</v>
      </c>
      <c r="L117" s="16">
        <v>0</v>
      </c>
      <c r="M117" s="16">
        <v>5</v>
      </c>
    </row>
    <row r="118" spans="1:13">
      <c r="A118" t="s">
        <v>18</v>
      </c>
      <c r="B118" s="12">
        <v>45450</v>
      </c>
      <c r="C118" s="17" t="s">
        <v>319</v>
      </c>
      <c r="D118" t="s">
        <v>19</v>
      </c>
      <c r="E118" s="16">
        <v>15</v>
      </c>
      <c r="F118" t="s">
        <v>27</v>
      </c>
      <c r="G118" t="s">
        <v>19</v>
      </c>
      <c r="H118" s="16">
        <v>30</v>
      </c>
      <c r="I118" t="s">
        <v>19</v>
      </c>
      <c r="J118" s="16">
        <v>20</v>
      </c>
      <c r="K118" s="24" t="s">
        <v>337</v>
      </c>
      <c r="L118" s="16">
        <v>20</v>
      </c>
      <c r="M118" s="16">
        <v>45</v>
      </c>
    </row>
    <row r="119" spans="1:13">
      <c r="A119" t="s">
        <v>26</v>
      </c>
      <c r="B119" s="12">
        <v>45450</v>
      </c>
      <c r="C119" s="17" t="s">
        <v>319</v>
      </c>
      <c r="D119" t="s">
        <v>23</v>
      </c>
      <c r="E119" s="16">
        <v>10</v>
      </c>
      <c r="F119" t="s">
        <v>20</v>
      </c>
      <c r="G119" t="s">
        <v>19</v>
      </c>
      <c r="H119" s="16">
        <v>30</v>
      </c>
      <c r="I119" t="s">
        <v>23</v>
      </c>
      <c r="J119" s="16">
        <v>0</v>
      </c>
      <c r="K119" s="24" t="s">
        <v>338</v>
      </c>
      <c r="L119" s="16">
        <v>10</v>
      </c>
      <c r="M119" s="16">
        <f>SUM(E119,H119,J119)-tbl_data[[#This Row],[Coupon Value]]</f>
        <v>30</v>
      </c>
    </row>
    <row r="120" spans="1:13">
      <c r="A120" t="s">
        <v>26</v>
      </c>
      <c r="B120" s="12">
        <v>45451</v>
      </c>
      <c r="C120" s="17" t="s">
        <v>319</v>
      </c>
      <c r="D120" t="s">
        <v>23</v>
      </c>
      <c r="E120" s="16">
        <v>10</v>
      </c>
      <c r="F120" t="s">
        <v>27</v>
      </c>
      <c r="G120" t="s">
        <v>23</v>
      </c>
      <c r="H120" s="16" t="s">
        <v>311</v>
      </c>
      <c r="I120" t="s">
        <v>19</v>
      </c>
      <c r="J120" s="16">
        <v>20</v>
      </c>
      <c r="K120" s="24" t="s">
        <v>336</v>
      </c>
      <c r="L120" s="16">
        <v>12</v>
      </c>
      <c r="M120" s="16">
        <v>18</v>
      </c>
    </row>
    <row r="121" spans="1:13">
      <c r="A121" t="s">
        <v>22</v>
      </c>
      <c r="B121" s="12">
        <v>45452</v>
      </c>
      <c r="C121" s="17" t="s">
        <v>319</v>
      </c>
      <c r="D121" t="s">
        <v>19</v>
      </c>
      <c r="E121" s="16">
        <v>5</v>
      </c>
      <c r="F121" t="s">
        <v>20</v>
      </c>
      <c r="G121" t="s">
        <v>23</v>
      </c>
      <c r="H121" s="16" t="s">
        <v>311</v>
      </c>
      <c r="I121" t="s">
        <v>23</v>
      </c>
      <c r="J121" s="16">
        <v>0</v>
      </c>
      <c r="K121" s="24" t="s">
        <v>346</v>
      </c>
      <c r="L121" s="16">
        <v>2</v>
      </c>
      <c r="M121" s="16">
        <v>3</v>
      </c>
    </row>
    <row r="122" spans="1:13">
      <c r="A122" t="s">
        <v>26</v>
      </c>
      <c r="B122" s="12">
        <v>45452</v>
      </c>
      <c r="C122" s="17" t="s">
        <v>319</v>
      </c>
      <c r="D122" t="s">
        <v>19</v>
      </c>
      <c r="E122" s="16">
        <v>10</v>
      </c>
      <c r="F122" t="s">
        <v>24</v>
      </c>
      <c r="G122" t="s">
        <v>19</v>
      </c>
      <c r="H122" s="16">
        <v>30</v>
      </c>
      <c r="I122" t="s">
        <v>23</v>
      </c>
      <c r="J122" s="16">
        <v>0</v>
      </c>
      <c r="K122" s="24" t="s">
        <v>338</v>
      </c>
      <c r="L122" s="16">
        <v>15</v>
      </c>
      <c r="M122" s="16">
        <f>SUM(E122,H122,J122)-tbl_data[[#This Row],[Coupon Value]]</f>
        <v>25</v>
      </c>
    </row>
    <row r="123" spans="1:13">
      <c r="A123" t="s">
        <v>22</v>
      </c>
      <c r="B123" s="12">
        <v>45453</v>
      </c>
      <c r="C123" s="17" t="s">
        <v>319</v>
      </c>
      <c r="D123" t="s">
        <v>19</v>
      </c>
      <c r="E123" s="16">
        <v>5</v>
      </c>
      <c r="F123" t="s">
        <v>20</v>
      </c>
      <c r="G123" t="s">
        <v>23</v>
      </c>
      <c r="H123" s="16" t="s">
        <v>311</v>
      </c>
      <c r="I123" t="s">
        <v>23</v>
      </c>
      <c r="J123" s="16">
        <v>0</v>
      </c>
      <c r="K123" s="24" t="s">
        <v>346</v>
      </c>
      <c r="L123" s="16">
        <v>0</v>
      </c>
      <c r="M123" s="16">
        <v>5</v>
      </c>
    </row>
    <row r="124" spans="1:13">
      <c r="A124" t="s">
        <v>18</v>
      </c>
      <c r="B124" s="12">
        <v>45454</v>
      </c>
      <c r="C124" s="17" t="s">
        <v>319</v>
      </c>
      <c r="D124" t="s">
        <v>23</v>
      </c>
      <c r="E124" s="16">
        <v>15</v>
      </c>
      <c r="F124" t="s">
        <v>27</v>
      </c>
      <c r="G124" t="s">
        <v>19</v>
      </c>
      <c r="H124" s="16">
        <v>30</v>
      </c>
      <c r="I124" t="s">
        <v>19</v>
      </c>
      <c r="J124" s="16">
        <v>20</v>
      </c>
      <c r="K124" s="24" t="s">
        <v>337</v>
      </c>
      <c r="L124" s="16">
        <v>7</v>
      </c>
      <c r="M124" s="16">
        <v>58</v>
      </c>
    </row>
    <row r="125" spans="1:13">
      <c r="A125" t="s">
        <v>26</v>
      </c>
      <c r="B125" s="12">
        <v>45455</v>
      </c>
      <c r="C125" s="17" t="s">
        <v>319</v>
      </c>
      <c r="D125" t="s">
        <v>19</v>
      </c>
      <c r="E125" s="16">
        <v>10</v>
      </c>
      <c r="F125" t="s">
        <v>24</v>
      </c>
      <c r="G125" t="s">
        <v>23</v>
      </c>
      <c r="H125" s="16" t="s">
        <v>311</v>
      </c>
      <c r="I125" t="s">
        <v>19</v>
      </c>
      <c r="J125" s="16">
        <v>20</v>
      </c>
      <c r="K125" s="24" t="s">
        <v>336</v>
      </c>
      <c r="L125" s="16">
        <v>10</v>
      </c>
      <c r="M125" s="16">
        <v>20</v>
      </c>
    </row>
    <row r="126" spans="1:13">
      <c r="A126" t="s">
        <v>22</v>
      </c>
      <c r="B126" s="12">
        <v>45456</v>
      </c>
      <c r="C126" s="17" t="s">
        <v>319</v>
      </c>
      <c r="D126" t="s">
        <v>23</v>
      </c>
      <c r="E126" s="16">
        <v>5</v>
      </c>
      <c r="F126" t="s">
        <v>27</v>
      </c>
      <c r="G126" t="s">
        <v>23</v>
      </c>
      <c r="H126" s="16" t="s">
        <v>311</v>
      </c>
      <c r="I126" t="s">
        <v>23</v>
      </c>
      <c r="J126" s="16">
        <v>0</v>
      </c>
      <c r="K126" s="24" t="s">
        <v>346</v>
      </c>
      <c r="L126" s="16">
        <v>1</v>
      </c>
      <c r="M126" s="16">
        <v>4</v>
      </c>
    </row>
    <row r="127" spans="1:13">
      <c r="A127" t="s">
        <v>18</v>
      </c>
      <c r="B127" s="12">
        <v>45456</v>
      </c>
      <c r="C127" s="17" t="s">
        <v>319</v>
      </c>
      <c r="D127" t="s">
        <v>19</v>
      </c>
      <c r="E127" s="16">
        <v>15</v>
      </c>
      <c r="F127" t="s">
        <v>24</v>
      </c>
      <c r="G127" t="s">
        <v>19</v>
      </c>
      <c r="H127" s="16">
        <v>30</v>
      </c>
      <c r="I127" t="s">
        <v>23</v>
      </c>
      <c r="J127" s="16">
        <v>0</v>
      </c>
      <c r="K127" s="24" t="s">
        <v>338</v>
      </c>
      <c r="L127" s="16">
        <v>5</v>
      </c>
      <c r="M127" s="16">
        <f>SUM(E127,H127,J127)-tbl_data[[#This Row],[Coupon Value]]</f>
        <v>40</v>
      </c>
    </row>
    <row r="128" spans="1:13">
      <c r="A128" t="s">
        <v>18</v>
      </c>
      <c r="B128" s="12">
        <v>45457</v>
      </c>
      <c r="C128" s="17" t="s">
        <v>319</v>
      </c>
      <c r="D128" t="s">
        <v>19</v>
      </c>
      <c r="E128" s="16">
        <v>15</v>
      </c>
      <c r="F128" t="s">
        <v>20</v>
      </c>
      <c r="G128" t="s">
        <v>19</v>
      </c>
      <c r="H128" s="16">
        <v>30</v>
      </c>
      <c r="I128" t="s">
        <v>19</v>
      </c>
      <c r="J128" s="16">
        <v>20</v>
      </c>
      <c r="K128" s="24" t="s">
        <v>337</v>
      </c>
      <c r="L128" s="16">
        <v>15</v>
      </c>
      <c r="M128" s="16">
        <v>50</v>
      </c>
    </row>
    <row r="129" spans="1:13">
      <c r="A129" t="s">
        <v>26</v>
      </c>
      <c r="B129" s="12">
        <v>45458</v>
      </c>
      <c r="C129" s="17" t="s">
        <v>319</v>
      </c>
      <c r="D129" t="s">
        <v>23</v>
      </c>
      <c r="E129" s="16">
        <v>10</v>
      </c>
      <c r="F129" t="s">
        <v>20</v>
      </c>
      <c r="G129" t="s">
        <v>23</v>
      </c>
      <c r="H129" s="16" t="s">
        <v>311</v>
      </c>
      <c r="I129" t="s">
        <v>19</v>
      </c>
      <c r="J129" s="16">
        <v>20</v>
      </c>
      <c r="K129" s="24" t="s">
        <v>336</v>
      </c>
      <c r="L129" s="16">
        <v>5</v>
      </c>
      <c r="M129" s="16">
        <v>25</v>
      </c>
    </row>
    <row r="130" spans="1:13">
      <c r="A130" t="s">
        <v>22</v>
      </c>
      <c r="B130" s="12">
        <v>45459</v>
      </c>
      <c r="C130" s="17" t="s">
        <v>319</v>
      </c>
      <c r="D130" t="s">
        <v>19</v>
      </c>
      <c r="E130" s="16">
        <v>5</v>
      </c>
      <c r="F130" t="s">
        <v>24</v>
      </c>
      <c r="G130" t="s">
        <v>23</v>
      </c>
      <c r="H130" s="16" t="s">
        <v>311</v>
      </c>
      <c r="I130" t="s">
        <v>23</v>
      </c>
      <c r="J130" s="16">
        <v>0</v>
      </c>
      <c r="K130" s="24" t="s">
        <v>346</v>
      </c>
      <c r="L130" s="16">
        <v>0</v>
      </c>
      <c r="M130" s="16">
        <v>5</v>
      </c>
    </row>
    <row r="131" spans="1:13">
      <c r="A131" t="s">
        <v>18</v>
      </c>
      <c r="B131" s="12">
        <v>45460</v>
      </c>
      <c r="C131" s="17" t="s">
        <v>319</v>
      </c>
      <c r="D131" t="s">
        <v>23</v>
      </c>
      <c r="E131" s="16">
        <v>15</v>
      </c>
      <c r="F131" t="s">
        <v>27</v>
      </c>
      <c r="G131" t="s">
        <v>19</v>
      </c>
      <c r="H131" s="16">
        <v>30</v>
      </c>
      <c r="I131" t="s">
        <v>19</v>
      </c>
      <c r="J131" s="16">
        <v>20</v>
      </c>
      <c r="K131" s="24" t="s">
        <v>337</v>
      </c>
      <c r="L131" s="16">
        <v>20</v>
      </c>
      <c r="M131" s="16">
        <v>45</v>
      </c>
    </row>
    <row r="132" spans="1:13">
      <c r="A132" t="s">
        <v>26</v>
      </c>
      <c r="B132" s="12">
        <v>45461</v>
      </c>
      <c r="C132" s="17" t="s">
        <v>319</v>
      </c>
      <c r="D132" t="s">
        <v>19</v>
      </c>
      <c r="E132" s="16">
        <v>10</v>
      </c>
      <c r="F132" t="s">
        <v>27</v>
      </c>
      <c r="G132" t="s">
        <v>23</v>
      </c>
      <c r="H132" s="16" t="s">
        <v>311</v>
      </c>
      <c r="I132" t="s">
        <v>19</v>
      </c>
      <c r="J132" s="16">
        <v>20</v>
      </c>
      <c r="K132" s="24" t="s">
        <v>336</v>
      </c>
      <c r="L132" s="16">
        <v>12</v>
      </c>
      <c r="M132" s="16">
        <v>18</v>
      </c>
    </row>
    <row r="133" spans="1:13">
      <c r="A133" t="s">
        <v>22</v>
      </c>
      <c r="B133" s="12">
        <v>45462</v>
      </c>
      <c r="C133" s="17" t="s">
        <v>319</v>
      </c>
      <c r="D133" t="s">
        <v>23</v>
      </c>
      <c r="E133" s="16">
        <v>5</v>
      </c>
      <c r="F133" t="s">
        <v>20</v>
      </c>
      <c r="G133" t="s">
        <v>23</v>
      </c>
      <c r="H133" s="16" t="s">
        <v>311</v>
      </c>
      <c r="I133" t="s">
        <v>23</v>
      </c>
      <c r="J133" s="16">
        <v>0</v>
      </c>
      <c r="K133" s="24" t="s">
        <v>346</v>
      </c>
      <c r="L133" s="16">
        <v>2</v>
      </c>
      <c r="M133" s="16">
        <v>3</v>
      </c>
    </row>
    <row r="134" spans="1:13">
      <c r="A134" t="s">
        <v>22</v>
      </c>
      <c r="B134" s="12">
        <v>45462</v>
      </c>
      <c r="C134" s="17" t="s">
        <v>319</v>
      </c>
      <c r="D134" t="s">
        <v>19</v>
      </c>
      <c r="E134" s="16">
        <v>5</v>
      </c>
      <c r="F134" t="s">
        <v>24</v>
      </c>
      <c r="G134" t="s">
        <v>19</v>
      </c>
      <c r="H134" s="16">
        <v>30</v>
      </c>
      <c r="I134" t="s">
        <v>23</v>
      </c>
      <c r="J134" s="16">
        <v>0</v>
      </c>
      <c r="K134" s="24" t="s">
        <v>338</v>
      </c>
      <c r="L134" s="16">
        <v>0</v>
      </c>
      <c r="M134" s="16">
        <f>SUM(E134,H134,J134)-tbl_data[[#This Row],[Coupon Value]]</f>
        <v>35</v>
      </c>
    </row>
    <row r="135" spans="1:13">
      <c r="A135" t="s">
        <v>18</v>
      </c>
      <c r="B135" s="12">
        <v>45463</v>
      </c>
      <c r="C135" s="17" t="s">
        <v>319</v>
      </c>
      <c r="D135" t="s">
        <v>19</v>
      </c>
      <c r="E135" s="16">
        <v>15</v>
      </c>
      <c r="F135" t="s">
        <v>24</v>
      </c>
      <c r="G135" t="s">
        <v>19</v>
      </c>
      <c r="H135" s="16">
        <v>30</v>
      </c>
      <c r="I135" t="s">
        <v>19</v>
      </c>
      <c r="J135" s="16">
        <v>20</v>
      </c>
      <c r="K135" s="24" t="s">
        <v>337</v>
      </c>
      <c r="L135" s="16">
        <v>5</v>
      </c>
      <c r="M135" s="16">
        <v>60</v>
      </c>
    </row>
    <row r="136" spans="1:13">
      <c r="A136" t="s">
        <v>26</v>
      </c>
      <c r="B136" s="12">
        <v>45464</v>
      </c>
      <c r="C136" s="17" t="s">
        <v>319</v>
      </c>
      <c r="D136" t="s">
        <v>23</v>
      </c>
      <c r="E136" s="16">
        <v>10</v>
      </c>
      <c r="F136" t="s">
        <v>20</v>
      </c>
      <c r="G136" t="s">
        <v>23</v>
      </c>
      <c r="H136" s="16" t="s">
        <v>311</v>
      </c>
      <c r="I136" t="s">
        <v>19</v>
      </c>
      <c r="J136" s="16">
        <v>20</v>
      </c>
      <c r="K136" s="24" t="s">
        <v>336</v>
      </c>
      <c r="L136" s="16">
        <v>10</v>
      </c>
      <c r="M136" s="16">
        <v>20</v>
      </c>
    </row>
    <row r="137" spans="1:13">
      <c r="A137" t="s">
        <v>22</v>
      </c>
      <c r="B137" s="12">
        <v>45465</v>
      </c>
      <c r="C137" s="17" t="s">
        <v>319</v>
      </c>
      <c r="D137" t="s">
        <v>19</v>
      </c>
      <c r="E137" s="16">
        <v>5</v>
      </c>
      <c r="F137" t="s">
        <v>27</v>
      </c>
      <c r="G137" t="s">
        <v>23</v>
      </c>
      <c r="H137" s="16" t="s">
        <v>311</v>
      </c>
      <c r="I137" t="s">
        <v>23</v>
      </c>
      <c r="J137" s="16">
        <v>0</v>
      </c>
      <c r="K137" s="24" t="s">
        <v>346</v>
      </c>
      <c r="L137" s="16">
        <v>0</v>
      </c>
      <c r="M137" s="16">
        <v>5</v>
      </c>
    </row>
    <row r="138" spans="1:13">
      <c r="A138" t="s">
        <v>18</v>
      </c>
      <c r="B138" s="12">
        <v>45466</v>
      </c>
      <c r="C138" s="17" t="s">
        <v>319</v>
      </c>
      <c r="D138" t="s">
        <v>23</v>
      </c>
      <c r="E138" s="16">
        <v>15</v>
      </c>
      <c r="F138" t="s">
        <v>20</v>
      </c>
      <c r="G138" t="s">
        <v>19</v>
      </c>
      <c r="H138" s="16">
        <v>30</v>
      </c>
      <c r="I138" t="s">
        <v>19</v>
      </c>
      <c r="J138" s="16">
        <v>20</v>
      </c>
      <c r="K138" s="24" t="s">
        <v>337</v>
      </c>
      <c r="L138" s="16">
        <v>3</v>
      </c>
      <c r="M138" s="16">
        <v>62</v>
      </c>
    </row>
    <row r="139" spans="1:13">
      <c r="A139" t="s">
        <v>26</v>
      </c>
      <c r="B139" s="12">
        <v>45467</v>
      </c>
      <c r="C139" s="17" t="s">
        <v>319</v>
      </c>
      <c r="D139" t="s">
        <v>19</v>
      </c>
      <c r="E139" s="16">
        <v>10</v>
      </c>
      <c r="F139" t="s">
        <v>24</v>
      </c>
      <c r="G139" t="s">
        <v>23</v>
      </c>
      <c r="H139" s="16" t="s">
        <v>311</v>
      </c>
      <c r="I139" t="s">
        <v>19</v>
      </c>
      <c r="J139" s="16">
        <v>20</v>
      </c>
      <c r="K139" s="24" t="s">
        <v>336</v>
      </c>
      <c r="L139" s="16">
        <v>15</v>
      </c>
      <c r="M139" s="16">
        <v>15</v>
      </c>
    </row>
    <row r="140" spans="1:13">
      <c r="A140" t="s">
        <v>22</v>
      </c>
      <c r="B140" s="12">
        <v>45468</v>
      </c>
      <c r="C140" s="17" t="s">
        <v>319</v>
      </c>
      <c r="D140" t="s">
        <v>23</v>
      </c>
      <c r="E140" s="16">
        <v>5</v>
      </c>
      <c r="F140" t="s">
        <v>20</v>
      </c>
      <c r="G140" t="s">
        <v>23</v>
      </c>
      <c r="H140" s="16" t="s">
        <v>311</v>
      </c>
      <c r="I140" t="s">
        <v>23</v>
      </c>
      <c r="J140" s="16">
        <v>0</v>
      </c>
      <c r="K140" s="24" t="s">
        <v>346</v>
      </c>
      <c r="L140" s="16">
        <v>1</v>
      </c>
      <c r="M140" s="16">
        <v>4</v>
      </c>
    </row>
    <row r="141" spans="1:13">
      <c r="A141" t="s">
        <v>18</v>
      </c>
      <c r="B141" s="12">
        <v>45469</v>
      </c>
      <c r="C141" s="17" t="s">
        <v>319</v>
      </c>
      <c r="D141" t="s">
        <v>19</v>
      </c>
      <c r="E141" s="16">
        <v>15</v>
      </c>
      <c r="F141" t="s">
        <v>27</v>
      </c>
      <c r="G141" t="s">
        <v>19</v>
      </c>
      <c r="H141" s="16">
        <v>30</v>
      </c>
      <c r="I141" t="s">
        <v>19</v>
      </c>
      <c r="J141" s="16">
        <v>20</v>
      </c>
      <c r="K141" s="24" t="s">
        <v>337</v>
      </c>
      <c r="L141" s="16">
        <v>7</v>
      </c>
      <c r="M141" s="16">
        <v>58</v>
      </c>
    </row>
    <row r="142" spans="1:13">
      <c r="A142" t="s">
        <v>26</v>
      </c>
      <c r="B142" s="12">
        <v>45470</v>
      </c>
      <c r="C142" s="17" t="s">
        <v>319</v>
      </c>
      <c r="D142" t="s">
        <v>23</v>
      </c>
      <c r="E142" s="16">
        <v>10</v>
      </c>
      <c r="F142" t="s">
        <v>20</v>
      </c>
      <c r="G142" t="s">
        <v>23</v>
      </c>
      <c r="H142" s="16" t="s">
        <v>311</v>
      </c>
      <c r="I142" t="s">
        <v>19</v>
      </c>
      <c r="J142" s="16">
        <v>20</v>
      </c>
      <c r="K142" s="24" t="s">
        <v>336</v>
      </c>
      <c r="L142" s="16">
        <v>10</v>
      </c>
      <c r="M142" s="16">
        <v>20</v>
      </c>
    </row>
    <row r="143" spans="1:13">
      <c r="A143" t="s">
        <v>22</v>
      </c>
      <c r="B143" s="12">
        <v>45471</v>
      </c>
      <c r="C143" s="17" t="s">
        <v>319</v>
      </c>
      <c r="D143" t="s">
        <v>19</v>
      </c>
      <c r="E143" s="16">
        <v>5</v>
      </c>
      <c r="F143" t="s">
        <v>24</v>
      </c>
      <c r="G143" t="s">
        <v>23</v>
      </c>
      <c r="H143" s="16" t="s">
        <v>311</v>
      </c>
      <c r="I143" t="s">
        <v>23</v>
      </c>
      <c r="J143" s="16">
        <v>0</v>
      </c>
      <c r="K143" s="24" t="s">
        <v>346</v>
      </c>
      <c r="L143" s="16">
        <v>0</v>
      </c>
      <c r="M143" s="16">
        <v>5</v>
      </c>
    </row>
    <row r="144" spans="1:13">
      <c r="A144" t="s">
        <v>18</v>
      </c>
      <c r="B144" s="12">
        <v>45472</v>
      </c>
      <c r="C144" s="17" t="s">
        <v>319</v>
      </c>
      <c r="D144" t="s">
        <v>23</v>
      </c>
      <c r="E144" s="16">
        <v>15</v>
      </c>
      <c r="F144" t="s">
        <v>20</v>
      </c>
      <c r="G144" t="s">
        <v>19</v>
      </c>
      <c r="H144" s="16">
        <v>30</v>
      </c>
      <c r="I144" t="s">
        <v>19</v>
      </c>
      <c r="J144" s="16">
        <v>20</v>
      </c>
      <c r="K144" s="24" t="s">
        <v>337</v>
      </c>
      <c r="L144" s="16">
        <v>20</v>
      </c>
      <c r="M144" s="16">
        <v>45</v>
      </c>
    </row>
    <row r="145" spans="1:13">
      <c r="A145" t="s">
        <v>18</v>
      </c>
      <c r="B145" s="12">
        <v>45472</v>
      </c>
      <c r="C145" s="17" t="s">
        <v>319</v>
      </c>
      <c r="D145" t="s">
        <v>23</v>
      </c>
      <c r="E145" s="16">
        <v>15</v>
      </c>
      <c r="F145" t="s">
        <v>20</v>
      </c>
      <c r="G145" t="s">
        <v>19</v>
      </c>
      <c r="H145" s="16">
        <v>30</v>
      </c>
      <c r="I145" t="s">
        <v>23</v>
      </c>
      <c r="J145" s="16">
        <v>0</v>
      </c>
      <c r="K145" s="24" t="s">
        <v>338</v>
      </c>
      <c r="L145" s="16">
        <v>3</v>
      </c>
      <c r="M145" s="16">
        <f>SUM(E145,H145,J145)-tbl_data[[#This Row],[Coupon Value]]</f>
        <v>42</v>
      </c>
    </row>
    <row r="146" spans="1:13">
      <c r="A146" t="s">
        <v>26</v>
      </c>
      <c r="B146" s="12">
        <v>45473</v>
      </c>
      <c r="C146" s="17" t="s">
        <v>319</v>
      </c>
      <c r="D146" t="s">
        <v>19</v>
      </c>
      <c r="E146" s="16">
        <v>10</v>
      </c>
      <c r="F146" t="s">
        <v>27</v>
      </c>
      <c r="G146" t="s">
        <v>23</v>
      </c>
      <c r="H146" s="16" t="s">
        <v>311</v>
      </c>
      <c r="I146" t="s">
        <v>19</v>
      </c>
      <c r="J146" s="16">
        <v>20</v>
      </c>
      <c r="K146" s="24" t="s">
        <v>336</v>
      </c>
      <c r="L146" s="16">
        <v>15</v>
      </c>
      <c r="M146" s="16">
        <v>15</v>
      </c>
    </row>
    <row r="147" spans="1:13">
      <c r="A147" t="s">
        <v>22</v>
      </c>
      <c r="B147" s="12">
        <v>45474</v>
      </c>
      <c r="C147" s="17" t="s">
        <v>320</v>
      </c>
      <c r="D147" t="s">
        <v>23</v>
      </c>
      <c r="E147" s="16">
        <v>5</v>
      </c>
      <c r="F147" t="s">
        <v>20</v>
      </c>
      <c r="G147" t="s">
        <v>23</v>
      </c>
      <c r="H147" s="16" t="s">
        <v>311</v>
      </c>
      <c r="I147" t="s">
        <v>23</v>
      </c>
      <c r="J147" s="16">
        <v>0</v>
      </c>
      <c r="K147" s="24" t="s">
        <v>346</v>
      </c>
      <c r="L147" s="16">
        <v>1</v>
      </c>
      <c r="M147" s="16">
        <v>4</v>
      </c>
    </row>
    <row r="148" spans="1:13">
      <c r="A148" t="s">
        <v>18</v>
      </c>
      <c r="B148" s="12">
        <v>45475</v>
      </c>
      <c r="C148" s="17" t="s">
        <v>320</v>
      </c>
      <c r="D148" t="s">
        <v>19</v>
      </c>
      <c r="E148" s="16">
        <v>15</v>
      </c>
      <c r="F148" t="s">
        <v>24</v>
      </c>
      <c r="G148" t="s">
        <v>19</v>
      </c>
      <c r="H148" s="16">
        <v>30</v>
      </c>
      <c r="I148" t="s">
        <v>19</v>
      </c>
      <c r="J148" s="16">
        <v>20</v>
      </c>
      <c r="K148" s="24" t="s">
        <v>337</v>
      </c>
      <c r="L148" s="16">
        <v>3</v>
      </c>
      <c r="M148" s="16">
        <v>62</v>
      </c>
    </row>
    <row r="149" spans="1:13">
      <c r="A149" t="s">
        <v>26</v>
      </c>
      <c r="B149" s="12">
        <v>45476</v>
      </c>
      <c r="C149" s="17" t="s">
        <v>320</v>
      </c>
      <c r="D149" t="s">
        <v>23</v>
      </c>
      <c r="E149" s="16">
        <v>10</v>
      </c>
      <c r="F149" t="s">
        <v>20</v>
      </c>
      <c r="G149" t="s">
        <v>23</v>
      </c>
      <c r="H149" s="16" t="s">
        <v>311</v>
      </c>
      <c r="I149" t="s">
        <v>19</v>
      </c>
      <c r="J149" s="16">
        <v>20</v>
      </c>
      <c r="K149" s="24" t="s">
        <v>336</v>
      </c>
      <c r="L149" s="16">
        <v>10</v>
      </c>
      <c r="M149" s="16">
        <v>20</v>
      </c>
    </row>
    <row r="150" spans="1:13">
      <c r="A150" t="s">
        <v>22</v>
      </c>
      <c r="B150" s="12">
        <v>45477</v>
      </c>
      <c r="C150" s="17" t="s">
        <v>320</v>
      </c>
      <c r="D150" t="s">
        <v>19</v>
      </c>
      <c r="E150" s="16">
        <v>5</v>
      </c>
      <c r="F150" t="s">
        <v>27</v>
      </c>
      <c r="G150" t="s">
        <v>23</v>
      </c>
      <c r="H150" s="16" t="s">
        <v>311</v>
      </c>
      <c r="I150" t="s">
        <v>23</v>
      </c>
      <c r="J150" s="16">
        <v>0</v>
      </c>
      <c r="K150" s="24" t="s">
        <v>346</v>
      </c>
      <c r="L150" s="16">
        <v>0</v>
      </c>
      <c r="M150" s="16">
        <v>5</v>
      </c>
    </row>
    <row r="151" spans="1:13">
      <c r="A151" t="s">
        <v>18</v>
      </c>
      <c r="B151" s="12">
        <v>45478</v>
      </c>
      <c r="C151" s="17" t="s">
        <v>320</v>
      </c>
      <c r="D151" t="s">
        <v>23</v>
      </c>
      <c r="E151" s="16">
        <v>15</v>
      </c>
      <c r="F151" t="s">
        <v>20</v>
      </c>
      <c r="G151" t="s">
        <v>19</v>
      </c>
      <c r="H151" s="16">
        <v>30</v>
      </c>
      <c r="I151" t="s">
        <v>19</v>
      </c>
      <c r="J151" s="16">
        <v>20</v>
      </c>
      <c r="K151" s="24" t="s">
        <v>337</v>
      </c>
      <c r="L151" s="16">
        <v>15</v>
      </c>
      <c r="M151" s="16">
        <v>50</v>
      </c>
    </row>
    <row r="152" spans="1:13">
      <c r="A152" t="s">
        <v>26</v>
      </c>
      <c r="B152" s="12">
        <v>45479</v>
      </c>
      <c r="C152" s="17" t="s">
        <v>320</v>
      </c>
      <c r="D152" t="s">
        <v>19</v>
      </c>
      <c r="E152" s="16">
        <v>10</v>
      </c>
      <c r="F152" t="s">
        <v>24</v>
      </c>
      <c r="G152" t="s">
        <v>23</v>
      </c>
      <c r="H152" s="16" t="s">
        <v>311</v>
      </c>
      <c r="I152" t="s">
        <v>19</v>
      </c>
      <c r="J152" s="16">
        <v>20</v>
      </c>
      <c r="K152" s="24" t="s">
        <v>336</v>
      </c>
      <c r="L152" s="16">
        <v>15</v>
      </c>
      <c r="M152" s="16">
        <v>15</v>
      </c>
    </row>
    <row r="153" spans="1:13">
      <c r="A153" t="s">
        <v>22</v>
      </c>
      <c r="B153" s="12">
        <v>45480</v>
      </c>
      <c r="C153" s="17" t="s">
        <v>320</v>
      </c>
      <c r="D153" t="s">
        <v>23</v>
      </c>
      <c r="E153" s="16">
        <v>5</v>
      </c>
      <c r="F153" t="s">
        <v>20</v>
      </c>
      <c r="G153" t="s">
        <v>23</v>
      </c>
      <c r="H153" s="16" t="s">
        <v>311</v>
      </c>
      <c r="I153" t="s">
        <v>23</v>
      </c>
      <c r="J153" s="16">
        <v>0</v>
      </c>
      <c r="K153" s="24" t="s">
        <v>346</v>
      </c>
      <c r="L153" s="16">
        <v>1</v>
      </c>
      <c r="M153" s="16">
        <v>4</v>
      </c>
    </row>
    <row r="154" spans="1:13">
      <c r="A154" t="s">
        <v>18</v>
      </c>
      <c r="B154" s="12">
        <v>45481</v>
      </c>
      <c r="C154" s="17" t="s">
        <v>320</v>
      </c>
      <c r="D154" t="s">
        <v>19</v>
      </c>
      <c r="E154" s="16">
        <v>15</v>
      </c>
      <c r="F154" t="s">
        <v>27</v>
      </c>
      <c r="G154" t="s">
        <v>19</v>
      </c>
      <c r="H154" s="16">
        <v>30</v>
      </c>
      <c r="I154" t="s">
        <v>19</v>
      </c>
      <c r="J154" s="16">
        <v>20</v>
      </c>
      <c r="K154" s="24" t="s">
        <v>337</v>
      </c>
      <c r="L154" s="16">
        <v>7</v>
      </c>
      <c r="M154" s="16">
        <v>58</v>
      </c>
    </row>
    <row r="155" spans="1:13">
      <c r="A155" t="s">
        <v>26</v>
      </c>
      <c r="B155" s="12">
        <v>45482</v>
      </c>
      <c r="C155" s="17" t="s">
        <v>320</v>
      </c>
      <c r="D155" t="s">
        <v>23</v>
      </c>
      <c r="E155" s="16">
        <v>10</v>
      </c>
      <c r="F155" t="s">
        <v>20</v>
      </c>
      <c r="G155" t="s">
        <v>23</v>
      </c>
      <c r="H155" s="16" t="s">
        <v>311</v>
      </c>
      <c r="I155" t="s">
        <v>19</v>
      </c>
      <c r="J155" s="16">
        <v>20</v>
      </c>
      <c r="K155" s="24" t="s">
        <v>336</v>
      </c>
      <c r="L155" s="16">
        <v>10</v>
      </c>
      <c r="M155" s="16">
        <v>20</v>
      </c>
    </row>
    <row r="156" spans="1:13">
      <c r="A156" t="s">
        <v>18</v>
      </c>
      <c r="B156" s="12">
        <v>45482</v>
      </c>
      <c r="C156" s="17" t="s">
        <v>320</v>
      </c>
      <c r="D156" t="s">
        <v>19</v>
      </c>
      <c r="E156" s="16">
        <v>15</v>
      </c>
      <c r="F156" t="s">
        <v>27</v>
      </c>
      <c r="G156" t="s">
        <v>19</v>
      </c>
      <c r="H156" s="16">
        <v>30</v>
      </c>
      <c r="I156" t="s">
        <v>23</v>
      </c>
      <c r="J156" s="16">
        <v>0</v>
      </c>
      <c r="K156" s="24" t="s">
        <v>338</v>
      </c>
      <c r="L156" s="16">
        <v>7</v>
      </c>
      <c r="M156" s="16">
        <f>SUM(E156,H156,J156)-tbl_data[[#This Row],[Coupon Value]]</f>
        <v>38</v>
      </c>
    </row>
    <row r="157" spans="1:13">
      <c r="A157" t="s">
        <v>22</v>
      </c>
      <c r="B157" s="12">
        <v>45482</v>
      </c>
      <c r="C157" s="17" t="s">
        <v>320</v>
      </c>
      <c r="D157" t="s">
        <v>23</v>
      </c>
      <c r="E157" s="16">
        <v>5</v>
      </c>
      <c r="F157" t="s">
        <v>20</v>
      </c>
      <c r="G157" t="s">
        <v>19</v>
      </c>
      <c r="H157" s="16">
        <v>30</v>
      </c>
      <c r="I157" t="s">
        <v>23</v>
      </c>
      <c r="J157" s="16">
        <v>0</v>
      </c>
      <c r="K157" s="24" t="s">
        <v>338</v>
      </c>
      <c r="L157" s="16">
        <v>1</v>
      </c>
      <c r="M157" s="16">
        <f>SUM(E157,H157,J157)-tbl_data[[#This Row],[Coupon Value]]</f>
        <v>34</v>
      </c>
    </row>
    <row r="158" spans="1:13">
      <c r="A158" t="s">
        <v>22</v>
      </c>
      <c r="B158" s="12">
        <v>45483</v>
      </c>
      <c r="C158" s="17" t="s">
        <v>320</v>
      </c>
      <c r="D158" t="s">
        <v>19</v>
      </c>
      <c r="E158" s="16">
        <v>5</v>
      </c>
      <c r="F158" t="s">
        <v>20</v>
      </c>
      <c r="G158" t="s">
        <v>23</v>
      </c>
      <c r="H158" s="16" t="s">
        <v>311</v>
      </c>
      <c r="I158" t="s">
        <v>23</v>
      </c>
      <c r="J158" s="16">
        <v>0</v>
      </c>
      <c r="K158" s="24" t="s">
        <v>346</v>
      </c>
      <c r="L158" s="16">
        <v>0</v>
      </c>
      <c r="M158" s="16">
        <v>5</v>
      </c>
    </row>
    <row r="159" spans="1:13">
      <c r="A159" t="s">
        <v>22</v>
      </c>
      <c r="B159" s="12">
        <v>45483</v>
      </c>
      <c r="C159" s="17" t="s">
        <v>320</v>
      </c>
      <c r="D159" t="s">
        <v>19</v>
      </c>
      <c r="E159" s="16">
        <v>5</v>
      </c>
      <c r="F159" t="s">
        <v>20</v>
      </c>
      <c r="G159" t="s">
        <v>19</v>
      </c>
      <c r="H159" s="16">
        <v>30</v>
      </c>
      <c r="I159" t="s">
        <v>23</v>
      </c>
      <c r="J159" s="16">
        <v>0</v>
      </c>
      <c r="K159" s="24" t="s">
        <v>338</v>
      </c>
      <c r="L159" s="16">
        <v>0</v>
      </c>
      <c r="M159" s="16">
        <f>SUM(E159,H159,J159)-tbl_data[[#This Row],[Coupon Value]]</f>
        <v>35</v>
      </c>
    </row>
    <row r="160" spans="1:13">
      <c r="A160" t="s">
        <v>18</v>
      </c>
      <c r="B160" s="12">
        <v>45484</v>
      </c>
      <c r="C160" s="17" t="s">
        <v>320</v>
      </c>
      <c r="D160" t="s">
        <v>23</v>
      </c>
      <c r="E160" s="16">
        <v>15</v>
      </c>
      <c r="F160" t="s">
        <v>27</v>
      </c>
      <c r="G160" t="s">
        <v>19</v>
      </c>
      <c r="H160" s="16">
        <v>30</v>
      </c>
      <c r="I160" t="s">
        <v>19</v>
      </c>
      <c r="J160" s="16">
        <v>20</v>
      </c>
      <c r="K160" s="24" t="s">
        <v>337</v>
      </c>
      <c r="L160" s="16">
        <v>7</v>
      </c>
      <c r="M160" s="16">
        <v>58</v>
      </c>
    </row>
    <row r="161" spans="1:13">
      <c r="A161" t="s">
        <v>26</v>
      </c>
      <c r="B161" s="12">
        <v>45485</v>
      </c>
      <c r="C161" s="17" t="s">
        <v>320</v>
      </c>
      <c r="D161" t="s">
        <v>19</v>
      </c>
      <c r="E161" s="16">
        <v>10</v>
      </c>
      <c r="F161" t="s">
        <v>24</v>
      </c>
      <c r="G161" t="s">
        <v>23</v>
      </c>
      <c r="H161" s="16" t="s">
        <v>311</v>
      </c>
      <c r="I161" t="s">
        <v>19</v>
      </c>
      <c r="J161" s="16">
        <v>20</v>
      </c>
      <c r="K161" s="24" t="s">
        <v>336</v>
      </c>
      <c r="L161" s="16">
        <v>10</v>
      </c>
      <c r="M161" s="16">
        <v>20</v>
      </c>
    </row>
    <row r="162" spans="1:13">
      <c r="A162" t="s">
        <v>22</v>
      </c>
      <c r="B162" s="12">
        <v>45486</v>
      </c>
      <c r="C162" s="17" t="s">
        <v>320</v>
      </c>
      <c r="D162" t="s">
        <v>23</v>
      </c>
      <c r="E162" s="16">
        <v>5</v>
      </c>
      <c r="F162" t="s">
        <v>27</v>
      </c>
      <c r="G162" t="s">
        <v>23</v>
      </c>
      <c r="H162" s="16" t="s">
        <v>311</v>
      </c>
      <c r="I162" t="s">
        <v>23</v>
      </c>
      <c r="J162" s="16">
        <v>0</v>
      </c>
      <c r="K162" s="24" t="s">
        <v>346</v>
      </c>
      <c r="L162" s="16">
        <v>1</v>
      </c>
      <c r="M162" s="16">
        <v>4</v>
      </c>
    </row>
    <row r="163" spans="1:13">
      <c r="A163" t="s">
        <v>18</v>
      </c>
      <c r="B163" s="12">
        <v>45487</v>
      </c>
      <c r="C163" s="17" t="s">
        <v>320</v>
      </c>
      <c r="D163" t="s">
        <v>19</v>
      </c>
      <c r="E163" s="16">
        <v>15</v>
      </c>
      <c r="F163" t="s">
        <v>20</v>
      </c>
      <c r="G163" t="s">
        <v>19</v>
      </c>
      <c r="H163" s="16">
        <v>30</v>
      </c>
      <c r="I163" t="s">
        <v>19</v>
      </c>
      <c r="J163" s="16">
        <v>20</v>
      </c>
      <c r="K163" s="24" t="s">
        <v>337</v>
      </c>
      <c r="L163" s="16">
        <v>15</v>
      </c>
      <c r="M163" s="16">
        <v>50</v>
      </c>
    </row>
    <row r="164" spans="1:13">
      <c r="A164" t="s">
        <v>26</v>
      </c>
      <c r="B164" s="12">
        <v>45488</v>
      </c>
      <c r="C164" s="17" t="s">
        <v>320</v>
      </c>
      <c r="D164" t="s">
        <v>23</v>
      </c>
      <c r="E164" s="16">
        <v>10</v>
      </c>
      <c r="F164" t="s">
        <v>20</v>
      </c>
      <c r="G164" t="s">
        <v>23</v>
      </c>
      <c r="H164" s="16" t="s">
        <v>311</v>
      </c>
      <c r="I164" t="s">
        <v>19</v>
      </c>
      <c r="J164" s="16">
        <v>20</v>
      </c>
      <c r="K164" s="24" t="s">
        <v>336</v>
      </c>
      <c r="L164" s="16">
        <v>5</v>
      </c>
      <c r="M164" s="16">
        <v>25</v>
      </c>
    </row>
    <row r="165" spans="1:13">
      <c r="A165" t="s">
        <v>22</v>
      </c>
      <c r="B165" s="12">
        <v>45489</v>
      </c>
      <c r="C165" s="17" t="s">
        <v>320</v>
      </c>
      <c r="D165" t="s">
        <v>19</v>
      </c>
      <c r="E165" s="16">
        <v>5</v>
      </c>
      <c r="F165" t="s">
        <v>24</v>
      </c>
      <c r="G165" t="s">
        <v>23</v>
      </c>
      <c r="H165" s="16" t="s">
        <v>311</v>
      </c>
      <c r="I165" t="s">
        <v>23</v>
      </c>
      <c r="J165" s="16">
        <v>0</v>
      </c>
      <c r="K165" s="24" t="s">
        <v>346</v>
      </c>
      <c r="L165" s="16">
        <v>0</v>
      </c>
      <c r="M165" s="16">
        <v>5</v>
      </c>
    </row>
    <row r="166" spans="1:13">
      <c r="A166" t="s">
        <v>18</v>
      </c>
      <c r="B166" s="12">
        <v>45490</v>
      </c>
      <c r="C166" s="17" t="s">
        <v>320</v>
      </c>
      <c r="D166" t="s">
        <v>23</v>
      </c>
      <c r="E166" s="16">
        <v>15</v>
      </c>
      <c r="F166" t="s">
        <v>27</v>
      </c>
      <c r="G166" t="s">
        <v>19</v>
      </c>
      <c r="H166" s="16">
        <v>30</v>
      </c>
      <c r="I166" t="s">
        <v>19</v>
      </c>
      <c r="J166" s="16">
        <v>20</v>
      </c>
      <c r="K166" s="24" t="s">
        <v>337</v>
      </c>
      <c r="L166" s="16">
        <v>20</v>
      </c>
      <c r="M166" s="16">
        <v>45</v>
      </c>
    </row>
    <row r="167" spans="1:13">
      <c r="A167" t="s">
        <v>26</v>
      </c>
      <c r="B167" s="12">
        <v>45491</v>
      </c>
      <c r="C167" s="17" t="s">
        <v>320</v>
      </c>
      <c r="D167" t="s">
        <v>19</v>
      </c>
      <c r="E167" s="16">
        <v>10</v>
      </c>
      <c r="F167" t="s">
        <v>27</v>
      </c>
      <c r="G167" t="s">
        <v>23</v>
      </c>
      <c r="H167" s="16" t="s">
        <v>311</v>
      </c>
      <c r="I167" t="s">
        <v>19</v>
      </c>
      <c r="J167" s="16">
        <v>20</v>
      </c>
      <c r="K167" s="24" t="s">
        <v>336</v>
      </c>
      <c r="L167" s="16">
        <v>12</v>
      </c>
      <c r="M167" s="16">
        <v>18</v>
      </c>
    </row>
    <row r="168" spans="1:13">
      <c r="A168" t="s">
        <v>22</v>
      </c>
      <c r="B168" s="12">
        <v>45492</v>
      </c>
      <c r="C168" s="17" t="s">
        <v>320</v>
      </c>
      <c r="D168" t="s">
        <v>23</v>
      </c>
      <c r="E168" s="16">
        <v>5</v>
      </c>
      <c r="F168" t="s">
        <v>20</v>
      </c>
      <c r="G168" t="s">
        <v>23</v>
      </c>
      <c r="H168" s="16" t="s">
        <v>311</v>
      </c>
      <c r="I168" t="s">
        <v>23</v>
      </c>
      <c r="J168" s="16">
        <v>0</v>
      </c>
      <c r="K168" s="24" t="s">
        <v>346</v>
      </c>
      <c r="L168" s="16">
        <v>2</v>
      </c>
      <c r="M168" s="16">
        <v>3</v>
      </c>
    </row>
    <row r="169" spans="1:13">
      <c r="A169" t="s">
        <v>18</v>
      </c>
      <c r="B169" s="12">
        <v>45493</v>
      </c>
      <c r="C169" s="17" t="s">
        <v>320</v>
      </c>
      <c r="D169" t="s">
        <v>19</v>
      </c>
      <c r="E169" s="16">
        <v>15</v>
      </c>
      <c r="F169" t="s">
        <v>24</v>
      </c>
      <c r="G169" t="s">
        <v>19</v>
      </c>
      <c r="H169" s="16">
        <v>30</v>
      </c>
      <c r="I169" t="s">
        <v>19</v>
      </c>
      <c r="J169" s="16">
        <v>20</v>
      </c>
      <c r="K169" s="24" t="s">
        <v>337</v>
      </c>
      <c r="L169" s="16">
        <v>5</v>
      </c>
      <c r="M169" s="16">
        <v>60</v>
      </c>
    </row>
    <row r="170" spans="1:13">
      <c r="A170" t="s">
        <v>26</v>
      </c>
      <c r="B170" s="12">
        <v>45494</v>
      </c>
      <c r="C170" s="17" t="s">
        <v>320</v>
      </c>
      <c r="D170" t="s">
        <v>23</v>
      </c>
      <c r="E170" s="16">
        <v>10</v>
      </c>
      <c r="F170" t="s">
        <v>20</v>
      </c>
      <c r="G170" t="s">
        <v>23</v>
      </c>
      <c r="H170" s="16" t="s">
        <v>311</v>
      </c>
      <c r="I170" t="s">
        <v>19</v>
      </c>
      <c r="J170" s="16">
        <v>20</v>
      </c>
      <c r="K170" s="24" t="s">
        <v>336</v>
      </c>
      <c r="L170" s="16">
        <v>10</v>
      </c>
      <c r="M170" s="16">
        <v>20</v>
      </c>
    </row>
    <row r="171" spans="1:13">
      <c r="A171" t="s">
        <v>22</v>
      </c>
      <c r="B171" s="12">
        <v>45495</v>
      </c>
      <c r="C171" s="17" t="s">
        <v>320</v>
      </c>
      <c r="D171" t="s">
        <v>19</v>
      </c>
      <c r="E171" s="16">
        <v>5</v>
      </c>
      <c r="F171" t="s">
        <v>27</v>
      </c>
      <c r="G171" t="s">
        <v>23</v>
      </c>
      <c r="H171" s="16" t="s">
        <v>311</v>
      </c>
      <c r="I171" t="s">
        <v>23</v>
      </c>
      <c r="J171" s="16">
        <v>0</v>
      </c>
      <c r="K171" s="24" t="s">
        <v>346</v>
      </c>
      <c r="L171" s="16">
        <v>0</v>
      </c>
      <c r="M171" s="16">
        <v>5</v>
      </c>
    </row>
    <row r="172" spans="1:13">
      <c r="A172" t="s">
        <v>18</v>
      </c>
      <c r="B172" s="12">
        <v>45496</v>
      </c>
      <c r="C172" s="17" t="s">
        <v>320</v>
      </c>
      <c r="D172" t="s">
        <v>23</v>
      </c>
      <c r="E172" s="16">
        <v>15</v>
      </c>
      <c r="F172" t="s">
        <v>20</v>
      </c>
      <c r="G172" t="s">
        <v>19</v>
      </c>
      <c r="H172" s="16">
        <v>30</v>
      </c>
      <c r="I172" t="s">
        <v>19</v>
      </c>
      <c r="J172" s="16">
        <v>20</v>
      </c>
      <c r="K172" s="24" t="s">
        <v>337</v>
      </c>
      <c r="L172" s="16">
        <v>3</v>
      </c>
      <c r="M172" s="16">
        <v>62</v>
      </c>
    </row>
    <row r="173" spans="1:13">
      <c r="A173" t="s">
        <v>26</v>
      </c>
      <c r="B173" s="12">
        <v>45497</v>
      </c>
      <c r="C173" s="17" t="s">
        <v>320</v>
      </c>
      <c r="D173" t="s">
        <v>19</v>
      </c>
      <c r="E173" s="16">
        <v>10</v>
      </c>
      <c r="F173" t="s">
        <v>24</v>
      </c>
      <c r="G173" t="s">
        <v>23</v>
      </c>
      <c r="H173" s="16" t="s">
        <v>311</v>
      </c>
      <c r="I173" t="s">
        <v>19</v>
      </c>
      <c r="J173" s="16">
        <v>20</v>
      </c>
      <c r="K173" s="24" t="s">
        <v>336</v>
      </c>
      <c r="L173" s="16">
        <v>15</v>
      </c>
      <c r="M173" s="16">
        <v>15</v>
      </c>
    </row>
    <row r="174" spans="1:13">
      <c r="A174" t="s">
        <v>22</v>
      </c>
      <c r="B174" s="12">
        <v>45498</v>
      </c>
      <c r="C174" s="17" t="s">
        <v>320</v>
      </c>
      <c r="D174" t="s">
        <v>23</v>
      </c>
      <c r="E174" s="16">
        <v>5</v>
      </c>
      <c r="F174" t="s">
        <v>20</v>
      </c>
      <c r="G174" t="s">
        <v>23</v>
      </c>
      <c r="H174" s="16" t="s">
        <v>311</v>
      </c>
      <c r="I174" t="s">
        <v>23</v>
      </c>
      <c r="J174" s="16">
        <v>0</v>
      </c>
      <c r="K174" s="24" t="s">
        <v>346</v>
      </c>
      <c r="L174" s="16">
        <v>1</v>
      </c>
      <c r="M174" s="16">
        <v>4</v>
      </c>
    </row>
    <row r="175" spans="1:13">
      <c r="A175" t="s">
        <v>18</v>
      </c>
      <c r="B175" s="12">
        <v>45499</v>
      </c>
      <c r="C175" s="17" t="s">
        <v>320</v>
      </c>
      <c r="D175" t="s">
        <v>19</v>
      </c>
      <c r="E175" s="16">
        <v>15</v>
      </c>
      <c r="F175" t="s">
        <v>27</v>
      </c>
      <c r="G175" t="s">
        <v>19</v>
      </c>
      <c r="H175" s="16">
        <v>30</v>
      </c>
      <c r="I175" t="s">
        <v>19</v>
      </c>
      <c r="J175" s="16">
        <v>20</v>
      </c>
      <c r="K175" s="24" t="s">
        <v>337</v>
      </c>
      <c r="L175" s="16">
        <v>7</v>
      </c>
      <c r="M175" s="16">
        <v>58</v>
      </c>
    </row>
    <row r="176" spans="1:13">
      <c r="A176" t="s">
        <v>26</v>
      </c>
      <c r="B176" s="12">
        <v>45500</v>
      </c>
      <c r="C176" s="17" t="s">
        <v>320</v>
      </c>
      <c r="D176" t="s">
        <v>23</v>
      </c>
      <c r="E176" s="16">
        <v>10</v>
      </c>
      <c r="F176" t="s">
        <v>20</v>
      </c>
      <c r="G176" t="s">
        <v>23</v>
      </c>
      <c r="H176" s="16" t="s">
        <v>311</v>
      </c>
      <c r="I176" t="s">
        <v>19</v>
      </c>
      <c r="J176" s="16">
        <v>20</v>
      </c>
      <c r="K176" s="24" t="s">
        <v>336</v>
      </c>
      <c r="L176" s="16">
        <v>10</v>
      </c>
      <c r="M176" s="16">
        <v>20</v>
      </c>
    </row>
    <row r="177" spans="1:13">
      <c r="A177" t="s">
        <v>22</v>
      </c>
      <c r="B177" s="12">
        <v>45501</v>
      </c>
      <c r="C177" s="17" t="s">
        <v>320</v>
      </c>
      <c r="D177" t="s">
        <v>19</v>
      </c>
      <c r="E177" s="16">
        <v>5</v>
      </c>
      <c r="F177" t="s">
        <v>24</v>
      </c>
      <c r="G177" t="s">
        <v>23</v>
      </c>
      <c r="H177" s="16" t="s">
        <v>311</v>
      </c>
      <c r="I177" t="s">
        <v>23</v>
      </c>
      <c r="J177" s="16">
        <v>0</v>
      </c>
      <c r="K177" s="24" t="s">
        <v>346</v>
      </c>
      <c r="L177" s="16">
        <v>0</v>
      </c>
      <c r="M177" s="16">
        <v>5</v>
      </c>
    </row>
    <row r="178" spans="1:13">
      <c r="A178" t="s">
        <v>18</v>
      </c>
      <c r="B178" s="12">
        <v>45502</v>
      </c>
      <c r="C178" s="17" t="s">
        <v>320</v>
      </c>
      <c r="D178" t="s">
        <v>23</v>
      </c>
      <c r="E178" s="16">
        <v>15</v>
      </c>
      <c r="F178" t="s">
        <v>20</v>
      </c>
      <c r="G178" t="s">
        <v>19</v>
      </c>
      <c r="H178" s="16">
        <v>30</v>
      </c>
      <c r="I178" t="s">
        <v>19</v>
      </c>
      <c r="J178" s="16">
        <v>20</v>
      </c>
      <c r="K178" s="24" t="s">
        <v>337</v>
      </c>
      <c r="L178" s="16">
        <v>20</v>
      </c>
      <c r="M178" s="16">
        <v>45</v>
      </c>
    </row>
    <row r="179" spans="1:13">
      <c r="A179" t="s">
        <v>26</v>
      </c>
      <c r="B179" s="12">
        <v>45503</v>
      </c>
      <c r="C179" s="17" t="s">
        <v>320</v>
      </c>
      <c r="D179" t="s">
        <v>19</v>
      </c>
      <c r="E179" s="16">
        <v>10</v>
      </c>
      <c r="F179" t="s">
        <v>27</v>
      </c>
      <c r="G179" t="s">
        <v>23</v>
      </c>
      <c r="H179" s="16" t="s">
        <v>311</v>
      </c>
      <c r="I179" t="s">
        <v>19</v>
      </c>
      <c r="J179" s="16">
        <v>20</v>
      </c>
      <c r="K179" s="24" t="s">
        <v>336</v>
      </c>
      <c r="L179" s="16">
        <v>15</v>
      </c>
      <c r="M179" s="16">
        <v>15</v>
      </c>
    </row>
    <row r="180" spans="1:13">
      <c r="A180" t="s">
        <v>22</v>
      </c>
      <c r="B180" s="12">
        <v>45504</v>
      </c>
      <c r="C180" s="17" t="s">
        <v>320</v>
      </c>
      <c r="D180" t="s">
        <v>23</v>
      </c>
      <c r="E180" s="16">
        <v>5</v>
      </c>
      <c r="F180" t="s">
        <v>20</v>
      </c>
      <c r="G180" t="s">
        <v>23</v>
      </c>
      <c r="H180" s="16" t="s">
        <v>311</v>
      </c>
      <c r="I180" t="s">
        <v>23</v>
      </c>
      <c r="J180" s="16">
        <v>0</v>
      </c>
      <c r="K180" s="24" t="s">
        <v>346</v>
      </c>
      <c r="L180" s="16">
        <v>1</v>
      </c>
      <c r="M180" s="16">
        <v>4</v>
      </c>
    </row>
    <row r="181" spans="1:13">
      <c r="A181" t="s">
        <v>18</v>
      </c>
      <c r="B181" s="12">
        <v>45505</v>
      </c>
      <c r="C181" s="17" t="s">
        <v>321</v>
      </c>
      <c r="D181" t="s">
        <v>19</v>
      </c>
      <c r="E181" s="16">
        <v>15</v>
      </c>
      <c r="F181" t="s">
        <v>24</v>
      </c>
      <c r="G181" t="s">
        <v>19</v>
      </c>
      <c r="H181" s="16">
        <v>30</v>
      </c>
      <c r="I181" t="s">
        <v>19</v>
      </c>
      <c r="J181" s="16">
        <v>20</v>
      </c>
      <c r="K181" s="24" t="s">
        <v>337</v>
      </c>
      <c r="L181" s="16">
        <v>3</v>
      </c>
      <c r="M181" s="16">
        <v>62</v>
      </c>
    </row>
    <row r="182" spans="1:13">
      <c r="A182" t="s">
        <v>26</v>
      </c>
      <c r="B182" s="12">
        <v>45506</v>
      </c>
      <c r="C182" s="17" t="s">
        <v>321</v>
      </c>
      <c r="D182" t="s">
        <v>23</v>
      </c>
      <c r="E182" s="16">
        <v>10</v>
      </c>
      <c r="F182" t="s">
        <v>20</v>
      </c>
      <c r="G182" t="s">
        <v>23</v>
      </c>
      <c r="H182" s="16" t="s">
        <v>311</v>
      </c>
      <c r="I182" t="s">
        <v>19</v>
      </c>
      <c r="J182" s="16">
        <v>20</v>
      </c>
      <c r="K182" s="24" t="s">
        <v>336</v>
      </c>
      <c r="L182" s="16">
        <v>10</v>
      </c>
      <c r="M182" s="16">
        <v>20</v>
      </c>
    </row>
    <row r="183" spans="1:13">
      <c r="A183" t="s">
        <v>22</v>
      </c>
      <c r="B183" s="12">
        <v>45507</v>
      </c>
      <c r="C183" s="17" t="s">
        <v>321</v>
      </c>
      <c r="D183" t="s">
        <v>19</v>
      </c>
      <c r="E183" s="16">
        <v>5</v>
      </c>
      <c r="F183" t="s">
        <v>27</v>
      </c>
      <c r="G183" t="s">
        <v>23</v>
      </c>
      <c r="H183" s="16" t="s">
        <v>311</v>
      </c>
      <c r="I183" t="s">
        <v>23</v>
      </c>
      <c r="J183" s="16">
        <v>0</v>
      </c>
      <c r="K183" s="24" t="s">
        <v>346</v>
      </c>
      <c r="L183" s="16">
        <v>0</v>
      </c>
      <c r="M183" s="16">
        <v>5</v>
      </c>
    </row>
    <row r="184" spans="1:13">
      <c r="A184" t="s">
        <v>18</v>
      </c>
      <c r="B184" s="12">
        <v>45508</v>
      </c>
      <c r="C184" s="17" t="s">
        <v>321</v>
      </c>
      <c r="D184" t="s">
        <v>23</v>
      </c>
      <c r="E184" s="16">
        <v>15</v>
      </c>
      <c r="F184" t="s">
        <v>20</v>
      </c>
      <c r="G184" t="s">
        <v>19</v>
      </c>
      <c r="H184" s="16">
        <v>30</v>
      </c>
      <c r="I184" t="s">
        <v>19</v>
      </c>
      <c r="J184" s="16">
        <v>20</v>
      </c>
      <c r="K184" s="24" t="s">
        <v>337</v>
      </c>
      <c r="L184" s="16">
        <v>15</v>
      </c>
      <c r="M184" s="16">
        <v>50</v>
      </c>
    </row>
    <row r="185" spans="1:13">
      <c r="A185" t="s">
        <v>26</v>
      </c>
      <c r="B185" s="12">
        <v>45509</v>
      </c>
      <c r="C185" s="17" t="s">
        <v>321</v>
      </c>
      <c r="D185" t="s">
        <v>19</v>
      </c>
      <c r="E185" s="16">
        <v>10</v>
      </c>
      <c r="F185" t="s">
        <v>24</v>
      </c>
      <c r="G185" t="s">
        <v>23</v>
      </c>
      <c r="H185" s="16" t="s">
        <v>311</v>
      </c>
      <c r="I185" t="s">
        <v>19</v>
      </c>
      <c r="J185" s="16">
        <v>20</v>
      </c>
      <c r="K185" s="24" t="s">
        <v>336</v>
      </c>
      <c r="L185" s="16">
        <v>15</v>
      </c>
      <c r="M185" s="16">
        <v>15</v>
      </c>
    </row>
    <row r="186" spans="1:13">
      <c r="A186" t="s">
        <v>22</v>
      </c>
      <c r="B186" s="12">
        <v>45510</v>
      </c>
      <c r="C186" s="17" t="s">
        <v>321</v>
      </c>
      <c r="D186" t="s">
        <v>23</v>
      </c>
      <c r="E186" s="16">
        <v>5</v>
      </c>
      <c r="F186" t="s">
        <v>20</v>
      </c>
      <c r="G186" t="s">
        <v>23</v>
      </c>
      <c r="H186" s="16" t="s">
        <v>311</v>
      </c>
      <c r="I186" t="s">
        <v>23</v>
      </c>
      <c r="J186" s="16">
        <v>0</v>
      </c>
      <c r="K186" s="24" t="s">
        <v>346</v>
      </c>
      <c r="L186" s="16">
        <v>1</v>
      </c>
      <c r="M186" s="16">
        <v>4</v>
      </c>
    </row>
    <row r="187" spans="1:13">
      <c r="A187" t="s">
        <v>18</v>
      </c>
      <c r="B187" s="12">
        <v>45511</v>
      </c>
      <c r="C187" s="17" t="s">
        <v>321</v>
      </c>
      <c r="D187" t="s">
        <v>19</v>
      </c>
      <c r="E187" s="16">
        <v>15</v>
      </c>
      <c r="F187" t="s">
        <v>27</v>
      </c>
      <c r="G187" t="s">
        <v>19</v>
      </c>
      <c r="H187" s="16">
        <v>30</v>
      </c>
      <c r="I187" t="s">
        <v>19</v>
      </c>
      <c r="J187" s="16">
        <v>20</v>
      </c>
      <c r="K187" s="24" t="s">
        <v>337</v>
      </c>
      <c r="L187" s="16">
        <v>7</v>
      </c>
      <c r="M187" s="16">
        <v>58</v>
      </c>
    </row>
    <row r="188" spans="1:13">
      <c r="A188" t="s">
        <v>26</v>
      </c>
      <c r="B188" s="12">
        <v>45512</v>
      </c>
      <c r="C188" s="17" t="s">
        <v>321</v>
      </c>
      <c r="D188" t="s">
        <v>23</v>
      </c>
      <c r="E188" s="16">
        <v>10</v>
      </c>
      <c r="F188" t="s">
        <v>20</v>
      </c>
      <c r="G188" t="s">
        <v>23</v>
      </c>
      <c r="H188" s="16" t="s">
        <v>311</v>
      </c>
      <c r="I188" t="s">
        <v>19</v>
      </c>
      <c r="J188" s="16">
        <v>20</v>
      </c>
      <c r="K188" s="24" t="s">
        <v>336</v>
      </c>
      <c r="L188" s="16">
        <v>10</v>
      </c>
      <c r="M188" s="16">
        <v>20</v>
      </c>
    </row>
    <row r="189" spans="1:13">
      <c r="A189" t="s">
        <v>22</v>
      </c>
      <c r="B189" s="12">
        <v>45513</v>
      </c>
      <c r="C189" s="17" t="s">
        <v>321</v>
      </c>
      <c r="D189" t="s">
        <v>19</v>
      </c>
      <c r="E189" s="16">
        <v>5</v>
      </c>
      <c r="F189" t="s">
        <v>24</v>
      </c>
      <c r="G189" t="s">
        <v>23</v>
      </c>
      <c r="H189" s="16" t="s">
        <v>311</v>
      </c>
      <c r="I189" t="s">
        <v>23</v>
      </c>
      <c r="J189" s="16">
        <v>0</v>
      </c>
      <c r="K189" s="24" t="s">
        <v>346</v>
      </c>
      <c r="L189" s="16">
        <v>0</v>
      </c>
      <c r="M189" s="16">
        <v>5</v>
      </c>
    </row>
    <row r="190" spans="1:13">
      <c r="A190" t="s">
        <v>18</v>
      </c>
      <c r="B190" s="12">
        <v>45514</v>
      </c>
      <c r="C190" s="17" t="s">
        <v>321</v>
      </c>
      <c r="D190" t="s">
        <v>23</v>
      </c>
      <c r="E190" s="16">
        <v>15</v>
      </c>
      <c r="F190" t="s">
        <v>20</v>
      </c>
      <c r="G190" t="s">
        <v>19</v>
      </c>
      <c r="H190" s="16">
        <v>30</v>
      </c>
      <c r="I190" t="s">
        <v>19</v>
      </c>
      <c r="J190" s="16">
        <v>20</v>
      </c>
      <c r="K190" s="24" t="s">
        <v>337</v>
      </c>
      <c r="L190" s="16">
        <v>20</v>
      </c>
      <c r="M190" s="16">
        <v>45</v>
      </c>
    </row>
    <row r="191" spans="1:13">
      <c r="A191" t="s">
        <v>26</v>
      </c>
      <c r="B191" s="12">
        <v>45514</v>
      </c>
      <c r="C191" s="17" t="s">
        <v>321</v>
      </c>
      <c r="D191" t="s">
        <v>19</v>
      </c>
      <c r="E191" s="16">
        <v>10</v>
      </c>
      <c r="F191" t="s">
        <v>27</v>
      </c>
      <c r="G191" t="s">
        <v>19</v>
      </c>
      <c r="H191" s="16">
        <v>30</v>
      </c>
      <c r="I191" t="s">
        <v>23</v>
      </c>
      <c r="J191" s="16">
        <v>0</v>
      </c>
      <c r="K191" s="24" t="s">
        <v>338</v>
      </c>
      <c r="L191" s="16">
        <v>12</v>
      </c>
      <c r="M191" s="16">
        <f>SUM(E191,H191,J191)-tbl_data[[#This Row],[Coupon Value]]</f>
        <v>28</v>
      </c>
    </row>
    <row r="192" spans="1:13">
      <c r="A192" t="s">
        <v>26</v>
      </c>
      <c r="B192" s="12">
        <v>45515</v>
      </c>
      <c r="C192" s="17" t="s">
        <v>321</v>
      </c>
      <c r="D192" t="s">
        <v>19</v>
      </c>
      <c r="E192" s="16">
        <v>10</v>
      </c>
      <c r="F192" t="s">
        <v>27</v>
      </c>
      <c r="G192" t="s">
        <v>23</v>
      </c>
      <c r="H192" s="16" t="s">
        <v>311</v>
      </c>
      <c r="I192" t="s">
        <v>19</v>
      </c>
      <c r="J192" s="16">
        <v>20</v>
      </c>
      <c r="K192" s="24" t="s">
        <v>336</v>
      </c>
      <c r="L192" s="16">
        <v>15</v>
      </c>
      <c r="M192" s="16">
        <v>15</v>
      </c>
    </row>
    <row r="193" spans="1:13">
      <c r="A193" t="s">
        <v>22</v>
      </c>
      <c r="B193" s="12">
        <v>45516</v>
      </c>
      <c r="C193" s="17" t="s">
        <v>321</v>
      </c>
      <c r="D193" t="s">
        <v>23</v>
      </c>
      <c r="E193" s="16">
        <v>5</v>
      </c>
      <c r="F193" t="s">
        <v>20</v>
      </c>
      <c r="G193" t="s">
        <v>23</v>
      </c>
      <c r="H193" s="16" t="s">
        <v>311</v>
      </c>
      <c r="I193" t="s">
        <v>23</v>
      </c>
      <c r="J193" s="16">
        <v>0</v>
      </c>
      <c r="K193" s="24" t="s">
        <v>346</v>
      </c>
      <c r="L193" s="16">
        <v>1</v>
      </c>
      <c r="M193" s="16">
        <v>4</v>
      </c>
    </row>
    <row r="194" spans="1:13">
      <c r="A194" t="s">
        <v>18</v>
      </c>
      <c r="B194" s="12">
        <v>45517</v>
      </c>
      <c r="C194" s="17" t="s">
        <v>321</v>
      </c>
      <c r="D194" t="s">
        <v>19</v>
      </c>
      <c r="E194" s="16">
        <v>15</v>
      </c>
      <c r="F194" t="s">
        <v>24</v>
      </c>
      <c r="G194" t="s">
        <v>19</v>
      </c>
      <c r="H194" s="16">
        <v>30</v>
      </c>
      <c r="I194" t="s">
        <v>19</v>
      </c>
      <c r="J194" s="16">
        <v>20</v>
      </c>
      <c r="K194" s="24" t="s">
        <v>337</v>
      </c>
      <c r="L194" s="16">
        <v>5</v>
      </c>
      <c r="M194" s="16">
        <v>60</v>
      </c>
    </row>
    <row r="195" spans="1:13">
      <c r="A195" t="s">
        <v>26</v>
      </c>
      <c r="B195" s="12">
        <v>45518</v>
      </c>
      <c r="C195" s="17" t="s">
        <v>321</v>
      </c>
      <c r="D195" t="s">
        <v>23</v>
      </c>
      <c r="E195" s="16">
        <v>10</v>
      </c>
      <c r="F195" t="s">
        <v>20</v>
      </c>
      <c r="G195" t="s">
        <v>23</v>
      </c>
      <c r="H195" s="16" t="s">
        <v>311</v>
      </c>
      <c r="I195" t="s">
        <v>19</v>
      </c>
      <c r="J195" s="16">
        <v>20</v>
      </c>
      <c r="K195" s="24" t="s">
        <v>336</v>
      </c>
      <c r="L195" s="16">
        <v>10</v>
      </c>
      <c r="M195" s="16">
        <v>20</v>
      </c>
    </row>
    <row r="196" spans="1:13">
      <c r="A196" t="s">
        <v>22</v>
      </c>
      <c r="B196" s="12">
        <v>45519</v>
      </c>
      <c r="C196" s="17" t="s">
        <v>321</v>
      </c>
      <c r="D196" t="s">
        <v>19</v>
      </c>
      <c r="E196" s="16">
        <v>5</v>
      </c>
      <c r="F196" t="s">
        <v>27</v>
      </c>
      <c r="G196" t="s">
        <v>23</v>
      </c>
      <c r="H196" s="16" t="s">
        <v>311</v>
      </c>
      <c r="I196" t="s">
        <v>23</v>
      </c>
      <c r="J196" s="16">
        <v>0</v>
      </c>
      <c r="K196" s="24" t="s">
        <v>346</v>
      </c>
      <c r="L196" s="16">
        <v>0</v>
      </c>
      <c r="M196" s="16">
        <v>5</v>
      </c>
    </row>
    <row r="197" spans="1:13">
      <c r="A197" t="s">
        <v>18</v>
      </c>
      <c r="B197" s="12">
        <v>45520</v>
      </c>
      <c r="C197" s="17" t="s">
        <v>321</v>
      </c>
      <c r="D197" t="s">
        <v>23</v>
      </c>
      <c r="E197" s="16">
        <v>15</v>
      </c>
      <c r="F197" t="s">
        <v>20</v>
      </c>
      <c r="G197" t="s">
        <v>19</v>
      </c>
      <c r="H197" s="16">
        <v>30</v>
      </c>
      <c r="I197" t="s">
        <v>19</v>
      </c>
      <c r="J197" s="16">
        <v>20</v>
      </c>
      <c r="K197" s="24" t="s">
        <v>337</v>
      </c>
      <c r="L197" s="16">
        <v>3</v>
      </c>
      <c r="M197" s="16">
        <v>62</v>
      </c>
    </row>
    <row r="198" spans="1:13">
      <c r="A198" t="s">
        <v>22</v>
      </c>
      <c r="B198" s="12">
        <v>45520</v>
      </c>
      <c r="C198" s="17" t="s">
        <v>321</v>
      </c>
      <c r="D198" t="s">
        <v>23</v>
      </c>
      <c r="E198" s="16">
        <v>5</v>
      </c>
      <c r="F198" t="s">
        <v>20</v>
      </c>
      <c r="G198" t="s">
        <v>19</v>
      </c>
      <c r="H198" s="16">
        <v>30</v>
      </c>
      <c r="I198" t="s">
        <v>23</v>
      </c>
      <c r="J198" s="16">
        <v>0</v>
      </c>
      <c r="K198" s="24" t="s">
        <v>338</v>
      </c>
      <c r="L198" s="16">
        <v>2</v>
      </c>
      <c r="M198" s="16">
        <f>SUM(E198,H198,J198)-tbl_data[[#This Row],[Coupon Value]]</f>
        <v>33</v>
      </c>
    </row>
    <row r="199" spans="1:13">
      <c r="A199" t="s">
        <v>26</v>
      </c>
      <c r="B199" s="12">
        <v>45521</v>
      </c>
      <c r="C199" s="17" t="s">
        <v>321</v>
      </c>
      <c r="D199" t="s">
        <v>19</v>
      </c>
      <c r="E199" s="16">
        <v>10</v>
      </c>
      <c r="F199" t="s">
        <v>24</v>
      </c>
      <c r="G199" t="s">
        <v>23</v>
      </c>
      <c r="H199" s="16" t="s">
        <v>311</v>
      </c>
      <c r="I199" t="s">
        <v>19</v>
      </c>
      <c r="J199" s="16">
        <v>20</v>
      </c>
      <c r="K199" s="24" t="s">
        <v>336</v>
      </c>
      <c r="L199" s="16">
        <v>15</v>
      </c>
      <c r="M199" s="16">
        <v>15</v>
      </c>
    </row>
    <row r="200" spans="1:13">
      <c r="A200" t="s">
        <v>22</v>
      </c>
      <c r="B200" s="12">
        <v>45522</v>
      </c>
      <c r="C200" s="17" t="s">
        <v>321</v>
      </c>
      <c r="D200" t="s">
        <v>23</v>
      </c>
      <c r="E200" s="16">
        <v>5</v>
      </c>
      <c r="F200" t="s">
        <v>20</v>
      </c>
      <c r="G200" t="s">
        <v>23</v>
      </c>
      <c r="H200" s="16" t="s">
        <v>311</v>
      </c>
      <c r="I200" t="s">
        <v>23</v>
      </c>
      <c r="J200" s="16">
        <v>0</v>
      </c>
      <c r="K200" s="24" t="s">
        <v>346</v>
      </c>
      <c r="L200" s="16">
        <v>1</v>
      </c>
      <c r="M200" s="16">
        <v>4</v>
      </c>
    </row>
    <row r="201" spans="1:13">
      <c r="A201" t="s">
        <v>22</v>
      </c>
      <c r="B201" s="12">
        <v>45523</v>
      </c>
      <c r="C201" s="17" t="s">
        <v>321</v>
      </c>
      <c r="D201" t="s">
        <v>19</v>
      </c>
      <c r="E201" s="16">
        <v>5</v>
      </c>
      <c r="F201" t="s">
        <v>20</v>
      </c>
      <c r="G201" t="s">
        <v>23</v>
      </c>
      <c r="H201" s="16" t="s">
        <v>311</v>
      </c>
      <c r="I201" t="s">
        <v>23</v>
      </c>
      <c r="J201" s="16">
        <v>0</v>
      </c>
      <c r="K201" s="24" t="s">
        <v>346</v>
      </c>
      <c r="L201" s="16">
        <v>0</v>
      </c>
      <c r="M201" s="16">
        <v>5</v>
      </c>
    </row>
    <row r="202" spans="1:13">
      <c r="A202" t="s">
        <v>18</v>
      </c>
      <c r="B202" s="12">
        <v>45524</v>
      </c>
      <c r="C202" s="17" t="s">
        <v>321</v>
      </c>
      <c r="D202" t="s">
        <v>23</v>
      </c>
      <c r="E202" s="16">
        <v>15</v>
      </c>
      <c r="F202" t="s">
        <v>27</v>
      </c>
      <c r="G202" t="s">
        <v>19</v>
      </c>
      <c r="H202" s="16">
        <v>30</v>
      </c>
      <c r="I202" t="s">
        <v>19</v>
      </c>
      <c r="J202" s="16">
        <v>20</v>
      </c>
      <c r="K202" s="24" t="s">
        <v>337</v>
      </c>
      <c r="L202" s="16">
        <v>7</v>
      </c>
      <c r="M202" s="16">
        <v>58</v>
      </c>
    </row>
    <row r="203" spans="1:13">
      <c r="A203" t="s">
        <v>26</v>
      </c>
      <c r="B203" s="12">
        <v>45524</v>
      </c>
      <c r="C203" s="17" t="s">
        <v>321</v>
      </c>
      <c r="D203" t="s">
        <v>23</v>
      </c>
      <c r="E203" s="16">
        <v>10</v>
      </c>
      <c r="F203" t="s">
        <v>20</v>
      </c>
      <c r="G203" t="s">
        <v>19</v>
      </c>
      <c r="H203" s="16">
        <v>30</v>
      </c>
      <c r="I203" t="s">
        <v>23</v>
      </c>
      <c r="J203" s="16">
        <v>0</v>
      </c>
      <c r="K203" s="24" t="s">
        <v>338</v>
      </c>
      <c r="L203" s="16">
        <v>10</v>
      </c>
      <c r="M203" s="16">
        <f>SUM(E203,H203,J203)-tbl_data[[#This Row],[Coupon Value]]</f>
        <v>30</v>
      </c>
    </row>
    <row r="204" spans="1:13">
      <c r="A204" t="s">
        <v>26</v>
      </c>
      <c r="B204" s="12">
        <v>45525</v>
      </c>
      <c r="C204" s="17" t="s">
        <v>321</v>
      </c>
      <c r="D204" t="s">
        <v>19</v>
      </c>
      <c r="E204" s="16">
        <v>10</v>
      </c>
      <c r="F204" t="s">
        <v>24</v>
      </c>
      <c r="G204" t="s">
        <v>23</v>
      </c>
      <c r="H204" s="16" t="s">
        <v>311</v>
      </c>
      <c r="I204" t="s">
        <v>19</v>
      </c>
      <c r="J204" s="16">
        <v>20</v>
      </c>
      <c r="K204" s="24" t="s">
        <v>336</v>
      </c>
      <c r="L204" s="16">
        <v>10</v>
      </c>
      <c r="M204" s="16">
        <v>20</v>
      </c>
    </row>
    <row r="205" spans="1:13">
      <c r="A205" t="s">
        <v>22</v>
      </c>
      <c r="B205" s="12">
        <v>45526</v>
      </c>
      <c r="C205" s="17" t="s">
        <v>321</v>
      </c>
      <c r="D205" t="s">
        <v>23</v>
      </c>
      <c r="E205" s="16">
        <v>5</v>
      </c>
      <c r="F205" t="s">
        <v>27</v>
      </c>
      <c r="G205" t="s">
        <v>23</v>
      </c>
      <c r="H205" s="16" t="s">
        <v>311</v>
      </c>
      <c r="I205" t="s">
        <v>23</v>
      </c>
      <c r="J205" s="16">
        <v>0</v>
      </c>
      <c r="K205" s="24" t="s">
        <v>346</v>
      </c>
      <c r="L205" s="16">
        <v>1</v>
      </c>
      <c r="M205" s="16">
        <v>4</v>
      </c>
    </row>
    <row r="206" spans="1:13">
      <c r="A206" t="s">
        <v>18</v>
      </c>
      <c r="B206" s="12">
        <v>45527</v>
      </c>
      <c r="C206" s="17" t="s">
        <v>321</v>
      </c>
      <c r="D206" t="s">
        <v>19</v>
      </c>
      <c r="E206" s="16">
        <v>15</v>
      </c>
      <c r="F206" t="s">
        <v>20</v>
      </c>
      <c r="G206" t="s">
        <v>19</v>
      </c>
      <c r="H206" s="16">
        <v>30</v>
      </c>
      <c r="I206" t="s">
        <v>19</v>
      </c>
      <c r="J206" s="16">
        <v>20</v>
      </c>
      <c r="K206" s="24" t="s">
        <v>337</v>
      </c>
      <c r="L206" s="16">
        <v>15</v>
      </c>
      <c r="M206" s="16">
        <v>50</v>
      </c>
    </row>
    <row r="207" spans="1:13">
      <c r="A207" t="s">
        <v>26</v>
      </c>
      <c r="B207" s="12">
        <v>45528</v>
      </c>
      <c r="C207" s="17" t="s">
        <v>321</v>
      </c>
      <c r="D207" t="s">
        <v>23</v>
      </c>
      <c r="E207" s="16">
        <v>10</v>
      </c>
      <c r="F207" t="s">
        <v>20</v>
      </c>
      <c r="G207" t="s">
        <v>23</v>
      </c>
      <c r="H207" s="16" t="s">
        <v>311</v>
      </c>
      <c r="I207" t="s">
        <v>19</v>
      </c>
      <c r="J207" s="16">
        <v>20</v>
      </c>
      <c r="K207" s="24" t="s">
        <v>336</v>
      </c>
      <c r="L207" s="16">
        <v>5</v>
      </c>
      <c r="M207" s="16">
        <v>25</v>
      </c>
    </row>
    <row r="208" spans="1:13">
      <c r="A208" t="s">
        <v>22</v>
      </c>
      <c r="B208" s="12">
        <v>45529</v>
      </c>
      <c r="C208" s="17" t="s">
        <v>321</v>
      </c>
      <c r="D208" t="s">
        <v>19</v>
      </c>
      <c r="E208" s="16">
        <v>5</v>
      </c>
      <c r="F208" t="s">
        <v>24</v>
      </c>
      <c r="G208" t="s">
        <v>23</v>
      </c>
      <c r="H208" s="16" t="s">
        <v>311</v>
      </c>
      <c r="I208" t="s">
        <v>23</v>
      </c>
      <c r="J208" s="16">
        <v>0</v>
      </c>
      <c r="K208" s="24" t="s">
        <v>346</v>
      </c>
      <c r="L208" s="16">
        <v>0</v>
      </c>
      <c r="M208" s="16">
        <v>5</v>
      </c>
    </row>
    <row r="209" spans="1:13">
      <c r="A209" t="s">
        <v>18</v>
      </c>
      <c r="B209" s="12">
        <v>45530</v>
      </c>
      <c r="C209" s="17" t="s">
        <v>321</v>
      </c>
      <c r="D209" t="s">
        <v>23</v>
      </c>
      <c r="E209" s="16">
        <v>15</v>
      </c>
      <c r="F209" t="s">
        <v>27</v>
      </c>
      <c r="G209" t="s">
        <v>19</v>
      </c>
      <c r="H209" s="16">
        <v>30</v>
      </c>
      <c r="I209" t="s">
        <v>19</v>
      </c>
      <c r="J209" s="16">
        <v>20</v>
      </c>
      <c r="K209" s="24" t="s">
        <v>337</v>
      </c>
      <c r="L209" s="16">
        <v>20</v>
      </c>
      <c r="M209" s="16">
        <v>45</v>
      </c>
    </row>
    <row r="210" spans="1:13">
      <c r="A210" t="s">
        <v>26</v>
      </c>
      <c r="B210" s="12">
        <v>45531</v>
      </c>
      <c r="C210" s="17" t="s">
        <v>321</v>
      </c>
      <c r="D210" t="s">
        <v>19</v>
      </c>
      <c r="E210" s="16">
        <v>10</v>
      </c>
      <c r="F210" t="s">
        <v>27</v>
      </c>
      <c r="G210" t="s">
        <v>23</v>
      </c>
      <c r="H210" s="16" t="s">
        <v>311</v>
      </c>
      <c r="I210" t="s">
        <v>19</v>
      </c>
      <c r="J210" s="16">
        <v>20</v>
      </c>
      <c r="K210" s="24" t="s">
        <v>336</v>
      </c>
      <c r="L210" s="16">
        <v>12</v>
      </c>
      <c r="M210" s="16">
        <v>18</v>
      </c>
    </row>
    <row r="211" spans="1:13">
      <c r="A211" t="s">
        <v>22</v>
      </c>
      <c r="B211" s="12">
        <v>45532</v>
      </c>
      <c r="C211" s="17" t="s">
        <v>321</v>
      </c>
      <c r="D211" t="s">
        <v>23</v>
      </c>
      <c r="E211" s="16">
        <v>5</v>
      </c>
      <c r="F211" t="s">
        <v>20</v>
      </c>
      <c r="G211" t="s">
        <v>23</v>
      </c>
      <c r="H211" s="16" t="s">
        <v>311</v>
      </c>
      <c r="I211" t="s">
        <v>23</v>
      </c>
      <c r="J211" s="16">
        <v>0</v>
      </c>
      <c r="K211" s="24" t="s">
        <v>346</v>
      </c>
      <c r="L211" s="16">
        <v>2</v>
      </c>
      <c r="M211" s="16">
        <v>3</v>
      </c>
    </row>
    <row r="212" spans="1:13">
      <c r="A212" t="s">
        <v>18</v>
      </c>
      <c r="B212" s="12">
        <v>45533</v>
      </c>
      <c r="C212" s="17" t="s">
        <v>321</v>
      </c>
      <c r="D212" t="s">
        <v>19</v>
      </c>
      <c r="E212" s="16">
        <v>15</v>
      </c>
      <c r="F212" t="s">
        <v>24</v>
      </c>
      <c r="G212" t="s">
        <v>19</v>
      </c>
      <c r="H212" s="16">
        <v>30</v>
      </c>
      <c r="I212" t="s">
        <v>19</v>
      </c>
      <c r="J212" s="16">
        <v>20</v>
      </c>
      <c r="K212" s="24" t="s">
        <v>337</v>
      </c>
      <c r="L212" s="16">
        <v>5</v>
      </c>
      <c r="M212" s="16">
        <v>60</v>
      </c>
    </row>
    <row r="213" spans="1:13">
      <c r="A213" t="s">
        <v>26</v>
      </c>
      <c r="B213" s="12">
        <v>45534</v>
      </c>
      <c r="C213" s="17" t="s">
        <v>321</v>
      </c>
      <c r="D213" t="s">
        <v>23</v>
      </c>
      <c r="E213" s="16">
        <v>10</v>
      </c>
      <c r="F213" t="s">
        <v>20</v>
      </c>
      <c r="G213" t="s">
        <v>23</v>
      </c>
      <c r="H213" s="16" t="s">
        <v>311</v>
      </c>
      <c r="I213" t="s">
        <v>19</v>
      </c>
      <c r="J213" s="16">
        <v>20</v>
      </c>
      <c r="K213" s="24" t="s">
        <v>336</v>
      </c>
      <c r="L213" s="16">
        <v>10</v>
      </c>
      <c r="M213" s="16">
        <v>20</v>
      </c>
    </row>
    <row r="214" spans="1:13">
      <c r="A214" t="s">
        <v>22</v>
      </c>
      <c r="B214" s="12">
        <v>45535</v>
      </c>
      <c r="C214" s="17" t="s">
        <v>321</v>
      </c>
      <c r="D214" t="s">
        <v>19</v>
      </c>
      <c r="E214" s="16">
        <v>5</v>
      </c>
      <c r="F214" t="s">
        <v>27</v>
      </c>
      <c r="G214" t="s">
        <v>23</v>
      </c>
      <c r="H214" s="16" t="s">
        <v>311</v>
      </c>
      <c r="I214" t="s">
        <v>23</v>
      </c>
      <c r="J214" s="16">
        <v>0</v>
      </c>
      <c r="K214" s="24" t="s">
        <v>346</v>
      </c>
      <c r="L214" s="16">
        <v>0</v>
      </c>
      <c r="M214" s="16">
        <v>5</v>
      </c>
    </row>
    <row r="215" spans="1:13">
      <c r="A215" t="s">
        <v>18</v>
      </c>
      <c r="B215" s="12">
        <v>45536</v>
      </c>
      <c r="C215" s="17" t="s">
        <v>322</v>
      </c>
      <c r="D215" t="s">
        <v>23</v>
      </c>
      <c r="E215" s="16">
        <v>15</v>
      </c>
      <c r="F215" t="s">
        <v>20</v>
      </c>
      <c r="G215" t="s">
        <v>19</v>
      </c>
      <c r="H215" s="16">
        <v>30</v>
      </c>
      <c r="I215" t="s">
        <v>19</v>
      </c>
      <c r="J215" s="16">
        <v>20</v>
      </c>
      <c r="K215" s="24" t="s">
        <v>337</v>
      </c>
      <c r="L215" s="16">
        <v>3</v>
      </c>
      <c r="M215" s="16">
        <v>62</v>
      </c>
    </row>
    <row r="216" spans="1:13">
      <c r="A216" t="s">
        <v>26</v>
      </c>
      <c r="B216" s="12">
        <v>45537</v>
      </c>
      <c r="C216" s="17" t="s">
        <v>322</v>
      </c>
      <c r="D216" t="s">
        <v>19</v>
      </c>
      <c r="E216" s="16">
        <v>10</v>
      </c>
      <c r="F216" t="s">
        <v>24</v>
      </c>
      <c r="G216" t="s">
        <v>23</v>
      </c>
      <c r="H216" s="16" t="s">
        <v>311</v>
      </c>
      <c r="I216" t="s">
        <v>19</v>
      </c>
      <c r="J216" s="16">
        <v>20</v>
      </c>
      <c r="K216" s="24" t="s">
        <v>336</v>
      </c>
      <c r="L216" s="16">
        <v>15</v>
      </c>
      <c r="M216" s="16">
        <v>15</v>
      </c>
    </row>
    <row r="217" spans="1:13">
      <c r="A217" t="s">
        <v>22</v>
      </c>
      <c r="B217" s="12">
        <v>45538</v>
      </c>
      <c r="C217" s="17" t="s">
        <v>322</v>
      </c>
      <c r="D217" t="s">
        <v>23</v>
      </c>
      <c r="E217" s="16">
        <v>5</v>
      </c>
      <c r="F217" t="s">
        <v>20</v>
      </c>
      <c r="G217" t="s">
        <v>23</v>
      </c>
      <c r="H217" s="16" t="s">
        <v>311</v>
      </c>
      <c r="I217" t="s">
        <v>23</v>
      </c>
      <c r="J217" s="16">
        <v>0</v>
      </c>
      <c r="K217" s="24" t="s">
        <v>346</v>
      </c>
      <c r="L217" s="16">
        <v>1</v>
      </c>
      <c r="M217" s="16">
        <v>4</v>
      </c>
    </row>
    <row r="218" spans="1:13">
      <c r="A218" t="s">
        <v>18</v>
      </c>
      <c r="B218" s="12">
        <v>45539</v>
      </c>
      <c r="C218" s="17" t="s">
        <v>322</v>
      </c>
      <c r="D218" t="s">
        <v>19</v>
      </c>
      <c r="E218" s="16">
        <v>15</v>
      </c>
      <c r="F218" t="s">
        <v>27</v>
      </c>
      <c r="G218" t="s">
        <v>19</v>
      </c>
      <c r="H218" s="16">
        <v>30</v>
      </c>
      <c r="I218" t="s">
        <v>19</v>
      </c>
      <c r="J218" s="16">
        <v>20</v>
      </c>
      <c r="K218" s="24" t="s">
        <v>337</v>
      </c>
      <c r="L218" s="16">
        <v>7</v>
      </c>
      <c r="M218" s="16">
        <v>58</v>
      </c>
    </row>
    <row r="219" spans="1:13">
      <c r="A219" t="s">
        <v>26</v>
      </c>
      <c r="B219" s="12">
        <v>45540</v>
      </c>
      <c r="C219" s="17" t="s">
        <v>322</v>
      </c>
      <c r="D219" t="s">
        <v>23</v>
      </c>
      <c r="E219" s="16">
        <v>10</v>
      </c>
      <c r="F219" t="s">
        <v>20</v>
      </c>
      <c r="G219" t="s">
        <v>23</v>
      </c>
      <c r="H219" s="16" t="s">
        <v>311</v>
      </c>
      <c r="I219" t="s">
        <v>19</v>
      </c>
      <c r="J219" s="16">
        <v>20</v>
      </c>
      <c r="K219" s="24" t="s">
        <v>336</v>
      </c>
      <c r="L219" s="16">
        <v>10</v>
      </c>
      <c r="M219" s="16">
        <v>20</v>
      </c>
    </row>
    <row r="220" spans="1:13">
      <c r="A220" t="s">
        <v>22</v>
      </c>
      <c r="B220" s="12">
        <v>45541</v>
      </c>
      <c r="C220" s="17" t="s">
        <v>322</v>
      </c>
      <c r="D220" t="s">
        <v>19</v>
      </c>
      <c r="E220" s="16">
        <v>5</v>
      </c>
      <c r="F220" t="s">
        <v>24</v>
      </c>
      <c r="G220" t="s">
        <v>23</v>
      </c>
      <c r="H220" s="16" t="s">
        <v>311</v>
      </c>
      <c r="I220" t="s">
        <v>23</v>
      </c>
      <c r="J220" s="16">
        <v>0</v>
      </c>
      <c r="K220" s="24" t="s">
        <v>346</v>
      </c>
      <c r="L220" s="16">
        <v>0</v>
      </c>
      <c r="M220" s="16">
        <v>5</v>
      </c>
    </row>
    <row r="221" spans="1:13">
      <c r="A221" t="s">
        <v>22</v>
      </c>
      <c r="B221" s="12">
        <v>45541</v>
      </c>
      <c r="C221" s="17" t="s">
        <v>322</v>
      </c>
      <c r="D221" t="s">
        <v>19</v>
      </c>
      <c r="E221" s="16">
        <v>5</v>
      </c>
      <c r="F221" t="s">
        <v>27</v>
      </c>
      <c r="G221" t="s">
        <v>19</v>
      </c>
      <c r="H221" s="16">
        <v>30</v>
      </c>
      <c r="I221" t="s">
        <v>23</v>
      </c>
      <c r="J221" s="16">
        <v>0</v>
      </c>
      <c r="K221" s="24" t="s">
        <v>338</v>
      </c>
      <c r="L221" s="16">
        <v>0</v>
      </c>
      <c r="M221" s="16">
        <f>SUM(E221,H221,J221)-tbl_data[[#This Row],[Coupon Value]]</f>
        <v>35</v>
      </c>
    </row>
    <row r="222" spans="1:13">
      <c r="A222" t="s">
        <v>18</v>
      </c>
      <c r="B222" s="12">
        <v>45542</v>
      </c>
      <c r="C222" s="17" t="s">
        <v>322</v>
      </c>
      <c r="D222" t="s">
        <v>23</v>
      </c>
      <c r="E222" s="16">
        <v>15</v>
      </c>
      <c r="F222" t="s">
        <v>20</v>
      </c>
      <c r="G222" t="s">
        <v>19</v>
      </c>
      <c r="H222" s="16">
        <v>30</v>
      </c>
      <c r="I222" t="s">
        <v>19</v>
      </c>
      <c r="J222" s="16">
        <v>20</v>
      </c>
      <c r="K222" s="24" t="s">
        <v>337</v>
      </c>
      <c r="L222" s="16">
        <v>20</v>
      </c>
      <c r="M222" s="16">
        <v>45</v>
      </c>
    </row>
    <row r="223" spans="1:13">
      <c r="A223" t="s">
        <v>26</v>
      </c>
      <c r="B223" s="12">
        <v>45543</v>
      </c>
      <c r="C223" s="17" t="s">
        <v>322</v>
      </c>
      <c r="D223" t="s">
        <v>19</v>
      </c>
      <c r="E223" s="16">
        <v>10</v>
      </c>
      <c r="F223" t="s">
        <v>27</v>
      </c>
      <c r="G223" t="s">
        <v>23</v>
      </c>
      <c r="H223" s="16" t="s">
        <v>311</v>
      </c>
      <c r="I223" t="s">
        <v>19</v>
      </c>
      <c r="J223" s="16">
        <v>20</v>
      </c>
      <c r="K223" s="24" t="s">
        <v>336</v>
      </c>
      <c r="L223" s="16">
        <v>15</v>
      </c>
      <c r="M223" s="16">
        <v>15</v>
      </c>
    </row>
    <row r="224" spans="1:13">
      <c r="A224" t="s">
        <v>22</v>
      </c>
      <c r="B224" s="12">
        <v>45544</v>
      </c>
      <c r="C224" s="17" t="s">
        <v>322</v>
      </c>
      <c r="D224" t="s">
        <v>23</v>
      </c>
      <c r="E224" s="16">
        <v>5</v>
      </c>
      <c r="F224" t="s">
        <v>20</v>
      </c>
      <c r="G224" t="s">
        <v>23</v>
      </c>
      <c r="H224" s="16" t="s">
        <v>311</v>
      </c>
      <c r="I224" t="s">
        <v>23</v>
      </c>
      <c r="J224" s="16">
        <v>0</v>
      </c>
      <c r="K224" s="24" t="s">
        <v>346</v>
      </c>
      <c r="L224" s="16">
        <v>1</v>
      </c>
      <c r="M224" s="16">
        <v>4</v>
      </c>
    </row>
    <row r="225" spans="1:13">
      <c r="A225" t="s">
        <v>18</v>
      </c>
      <c r="B225" s="12">
        <v>45545</v>
      </c>
      <c r="C225" s="17" t="s">
        <v>322</v>
      </c>
      <c r="D225" t="s">
        <v>19</v>
      </c>
      <c r="E225" s="16">
        <v>15</v>
      </c>
      <c r="F225" t="s">
        <v>24</v>
      </c>
      <c r="G225" t="s">
        <v>19</v>
      </c>
      <c r="H225" s="16">
        <v>30</v>
      </c>
      <c r="I225" t="s">
        <v>19</v>
      </c>
      <c r="J225" s="16">
        <v>20</v>
      </c>
      <c r="K225" s="24" t="s">
        <v>337</v>
      </c>
      <c r="L225" s="16">
        <v>3</v>
      </c>
      <c r="M225" s="16">
        <v>62</v>
      </c>
    </row>
    <row r="226" spans="1:13">
      <c r="A226" t="s">
        <v>26</v>
      </c>
      <c r="B226" s="12">
        <v>45546</v>
      </c>
      <c r="C226" s="17" t="s">
        <v>322</v>
      </c>
      <c r="D226" t="s">
        <v>23</v>
      </c>
      <c r="E226" s="16">
        <v>10</v>
      </c>
      <c r="F226" t="s">
        <v>20</v>
      </c>
      <c r="G226" t="s">
        <v>23</v>
      </c>
      <c r="H226" s="16" t="s">
        <v>311</v>
      </c>
      <c r="I226" t="s">
        <v>19</v>
      </c>
      <c r="J226" s="16">
        <v>20</v>
      </c>
      <c r="K226" s="24" t="s">
        <v>336</v>
      </c>
      <c r="L226" s="16">
        <v>10</v>
      </c>
      <c r="M226" s="16">
        <v>20</v>
      </c>
    </row>
    <row r="227" spans="1:13">
      <c r="A227" t="s">
        <v>22</v>
      </c>
      <c r="B227" s="12">
        <v>45547</v>
      </c>
      <c r="C227" s="17" t="s">
        <v>322</v>
      </c>
      <c r="D227" t="s">
        <v>19</v>
      </c>
      <c r="E227" s="16">
        <v>5</v>
      </c>
      <c r="F227" t="s">
        <v>27</v>
      </c>
      <c r="G227" t="s">
        <v>23</v>
      </c>
      <c r="H227" s="16" t="s">
        <v>311</v>
      </c>
      <c r="I227" t="s">
        <v>23</v>
      </c>
      <c r="J227" s="16">
        <v>0</v>
      </c>
      <c r="K227" s="24" t="s">
        <v>346</v>
      </c>
      <c r="L227" s="16">
        <v>0</v>
      </c>
      <c r="M227" s="16">
        <v>5</v>
      </c>
    </row>
    <row r="228" spans="1:13">
      <c r="A228" t="s">
        <v>18</v>
      </c>
      <c r="B228" s="12">
        <v>45548</v>
      </c>
      <c r="C228" s="17" t="s">
        <v>322</v>
      </c>
      <c r="D228" t="s">
        <v>23</v>
      </c>
      <c r="E228" s="16">
        <v>15</v>
      </c>
      <c r="F228" t="s">
        <v>20</v>
      </c>
      <c r="G228" t="s">
        <v>19</v>
      </c>
      <c r="H228" s="16">
        <v>30</v>
      </c>
      <c r="I228" t="s">
        <v>19</v>
      </c>
      <c r="J228" s="16">
        <v>20</v>
      </c>
      <c r="K228" s="24" t="s">
        <v>337</v>
      </c>
      <c r="L228" s="16">
        <v>15</v>
      </c>
      <c r="M228" s="16">
        <v>50</v>
      </c>
    </row>
    <row r="229" spans="1:13">
      <c r="A229" t="s">
        <v>26</v>
      </c>
      <c r="B229" s="12">
        <v>45549</v>
      </c>
      <c r="C229" s="17" t="s">
        <v>322</v>
      </c>
      <c r="D229" t="s">
        <v>19</v>
      </c>
      <c r="E229" s="16">
        <v>10</v>
      </c>
      <c r="F229" t="s">
        <v>24</v>
      </c>
      <c r="G229" t="s">
        <v>23</v>
      </c>
      <c r="H229" s="16" t="s">
        <v>311</v>
      </c>
      <c r="I229" t="s">
        <v>19</v>
      </c>
      <c r="J229" s="16">
        <v>20</v>
      </c>
      <c r="K229" s="24" t="s">
        <v>336</v>
      </c>
      <c r="L229" s="16">
        <v>15</v>
      </c>
      <c r="M229" s="16">
        <v>15</v>
      </c>
    </row>
    <row r="230" spans="1:13">
      <c r="A230" t="s">
        <v>26</v>
      </c>
      <c r="B230" s="12">
        <v>45549</v>
      </c>
      <c r="C230" s="17" t="s">
        <v>322</v>
      </c>
      <c r="D230" t="s">
        <v>19</v>
      </c>
      <c r="E230" s="16">
        <v>10</v>
      </c>
      <c r="F230" t="s">
        <v>24</v>
      </c>
      <c r="G230" t="s">
        <v>19</v>
      </c>
      <c r="H230" s="16">
        <v>30</v>
      </c>
      <c r="I230" t="s">
        <v>23</v>
      </c>
      <c r="J230" s="16">
        <v>0</v>
      </c>
      <c r="K230" s="24" t="s">
        <v>338</v>
      </c>
      <c r="L230" s="16">
        <v>10</v>
      </c>
      <c r="M230" s="16">
        <f>SUM(E230,H230,J230)-tbl_data[[#This Row],[Coupon Value]]</f>
        <v>30</v>
      </c>
    </row>
    <row r="231" spans="1:13">
      <c r="A231" t="s">
        <v>26</v>
      </c>
      <c r="B231" s="12">
        <v>45549</v>
      </c>
      <c r="C231" s="17" t="s">
        <v>322</v>
      </c>
      <c r="D231" t="s">
        <v>23</v>
      </c>
      <c r="E231" s="16">
        <v>10</v>
      </c>
      <c r="F231" t="s">
        <v>20</v>
      </c>
      <c r="G231" t="s">
        <v>19</v>
      </c>
      <c r="H231" s="16">
        <v>30</v>
      </c>
      <c r="I231" t="s">
        <v>23</v>
      </c>
      <c r="J231" s="16">
        <v>0</v>
      </c>
      <c r="K231" s="24" t="s">
        <v>338</v>
      </c>
      <c r="L231" s="16">
        <v>5</v>
      </c>
      <c r="M231" s="16">
        <f>SUM(E231,H231,J231)-tbl_data[[#This Row],[Coupon Value]]</f>
        <v>35</v>
      </c>
    </row>
    <row r="232" spans="1:13">
      <c r="A232" t="s">
        <v>22</v>
      </c>
      <c r="B232" s="12">
        <v>45550</v>
      </c>
      <c r="C232" s="17" t="s">
        <v>322</v>
      </c>
      <c r="D232" t="s">
        <v>23</v>
      </c>
      <c r="E232" s="16">
        <v>5</v>
      </c>
      <c r="F232" t="s">
        <v>20</v>
      </c>
      <c r="G232" t="s">
        <v>23</v>
      </c>
      <c r="H232" s="16" t="s">
        <v>311</v>
      </c>
      <c r="I232" t="s">
        <v>23</v>
      </c>
      <c r="J232" s="16">
        <v>0</v>
      </c>
      <c r="K232" s="24" t="s">
        <v>346</v>
      </c>
      <c r="L232" s="16">
        <v>1</v>
      </c>
      <c r="M232" s="16">
        <v>4</v>
      </c>
    </row>
    <row r="233" spans="1:13">
      <c r="A233" t="s">
        <v>18</v>
      </c>
      <c r="B233" s="12">
        <v>45551</v>
      </c>
      <c r="C233" s="17" t="s">
        <v>322</v>
      </c>
      <c r="D233" t="s">
        <v>19</v>
      </c>
      <c r="E233" s="16">
        <v>15</v>
      </c>
      <c r="F233" t="s">
        <v>27</v>
      </c>
      <c r="G233" t="s">
        <v>19</v>
      </c>
      <c r="H233" s="16">
        <v>30</v>
      </c>
      <c r="I233" t="s">
        <v>19</v>
      </c>
      <c r="J233" s="16">
        <v>20</v>
      </c>
      <c r="K233" s="24" t="s">
        <v>337</v>
      </c>
      <c r="L233" s="16">
        <v>7</v>
      </c>
      <c r="M233" s="16">
        <v>58</v>
      </c>
    </row>
    <row r="234" spans="1:13">
      <c r="A234" t="s">
        <v>26</v>
      </c>
      <c r="B234" s="12">
        <v>45552</v>
      </c>
      <c r="C234" s="17" t="s">
        <v>322</v>
      </c>
      <c r="D234" t="s">
        <v>23</v>
      </c>
      <c r="E234" s="16">
        <v>10</v>
      </c>
      <c r="F234" t="s">
        <v>20</v>
      </c>
      <c r="G234" t="s">
        <v>23</v>
      </c>
      <c r="H234" s="16" t="s">
        <v>311</v>
      </c>
      <c r="I234" t="s">
        <v>19</v>
      </c>
      <c r="J234" s="16">
        <v>20</v>
      </c>
      <c r="K234" s="24" t="s">
        <v>336</v>
      </c>
      <c r="L234" s="16">
        <v>10</v>
      </c>
      <c r="M234" s="16">
        <v>20</v>
      </c>
    </row>
    <row r="235" spans="1:13">
      <c r="A235" t="s">
        <v>22</v>
      </c>
      <c r="B235" s="12">
        <v>45553</v>
      </c>
      <c r="C235" s="17" t="s">
        <v>322</v>
      </c>
      <c r="D235" t="s">
        <v>19</v>
      </c>
      <c r="E235" s="16">
        <v>5</v>
      </c>
      <c r="F235" t="s">
        <v>20</v>
      </c>
      <c r="G235" t="s">
        <v>23</v>
      </c>
      <c r="H235" s="16" t="s">
        <v>311</v>
      </c>
      <c r="I235" t="s">
        <v>23</v>
      </c>
      <c r="J235" s="16">
        <v>0</v>
      </c>
      <c r="K235" s="24" t="s">
        <v>346</v>
      </c>
      <c r="L235" s="16">
        <v>0</v>
      </c>
      <c r="M235" s="16">
        <v>5</v>
      </c>
    </row>
    <row r="236" spans="1:13">
      <c r="A236" t="s">
        <v>18</v>
      </c>
      <c r="B236" s="12">
        <v>45554</v>
      </c>
      <c r="C236" s="17" t="s">
        <v>322</v>
      </c>
      <c r="D236" t="s">
        <v>23</v>
      </c>
      <c r="E236" s="16">
        <v>15</v>
      </c>
      <c r="F236" t="s">
        <v>27</v>
      </c>
      <c r="G236" t="s">
        <v>19</v>
      </c>
      <c r="H236" s="16">
        <v>30</v>
      </c>
      <c r="I236" t="s">
        <v>19</v>
      </c>
      <c r="J236" s="16">
        <v>20</v>
      </c>
      <c r="K236" s="24" t="s">
        <v>337</v>
      </c>
      <c r="L236" s="16">
        <v>7</v>
      </c>
      <c r="M236" s="16">
        <v>58</v>
      </c>
    </row>
    <row r="237" spans="1:13">
      <c r="A237" t="s">
        <v>18</v>
      </c>
      <c r="B237" s="12">
        <v>45554</v>
      </c>
      <c r="C237" s="17" t="s">
        <v>322</v>
      </c>
      <c r="D237" t="s">
        <v>19</v>
      </c>
      <c r="E237" s="16">
        <v>15</v>
      </c>
      <c r="F237" t="s">
        <v>27</v>
      </c>
      <c r="G237" t="s">
        <v>19</v>
      </c>
      <c r="H237" s="16">
        <v>30</v>
      </c>
      <c r="I237" t="s">
        <v>23</v>
      </c>
      <c r="J237" s="16">
        <v>0</v>
      </c>
      <c r="K237" s="24" t="s">
        <v>338</v>
      </c>
      <c r="L237" s="16">
        <v>7</v>
      </c>
      <c r="M237" s="16">
        <f>SUM(E237,H237,J237)-tbl_data[[#This Row],[Coupon Value]]</f>
        <v>38</v>
      </c>
    </row>
    <row r="238" spans="1:13">
      <c r="A238" t="s">
        <v>26</v>
      </c>
      <c r="B238" s="12">
        <v>45555</v>
      </c>
      <c r="C238" s="17" t="s">
        <v>322</v>
      </c>
      <c r="D238" t="s">
        <v>19</v>
      </c>
      <c r="E238" s="16">
        <v>10</v>
      </c>
      <c r="F238" t="s">
        <v>24</v>
      </c>
      <c r="G238" t="s">
        <v>23</v>
      </c>
      <c r="H238" s="16" t="s">
        <v>311</v>
      </c>
      <c r="I238" t="s">
        <v>19</v>
      </c>
      <c r="J238" s="16">
        <v>20</v>
      </c>
      <c r="K238" s="24" t="s">
        <v>336</v>
      </c>
      <c r="L238" s="16">
        <v>10</v>
      </c>
      <c r="M238" s="16">
        <v>20</v>
      </c>
    </row>
    <row r="239" spans="1:13">
      <c r="A239" t="s">
        <v>22</v>
      </c>
      <c r="B239" s="12">
        <v>45556</v>
      </c>
      <c r="C239" s="17" t="s">
        <v>322</v>
      </c>
      <c r="D239" t="s">
        <v>23</v>
      </c>
      <c r="E239" s="16">
        <v>5</v>
      </c>
      <c r="F239" t="s">
        <v>27</v>
      </c>
      <c r="G239" t="s">
        <v>23</v>
      </c>
      <c r="H239" s="16" t="s">
        <v>311</v>
      </c>
      <c r="I239" t="s">
        <v>23</v>
      </c>
      <c r="J239" s="16">
        <v>0</v>
      </c>
      <c r="K239" s="24" t="s">
        <v>346</v>
      </c>
      <c r="L239" s="16">
        <v>1</v>
      </c>
      <c r="M239" s="16">
        <v>4</v>
      </c>
    </row>
    <row r="240" spans="1:13">
      <c r="A240" t="s">
        <v>22</v>
      </c>
      <c r="B240" s="12">
        <v>45556</v>
      </c>
      <c r="C240" s="17" t="s">
        <v>322</v>
      </c>
      <c r="D240" t="s">
        <v>23</v>
      </c>
      <c r="E240" s="16">
        <v>5</v>
      </c>
      <c r="F240" t="s">
        <v>20</v>
      </c>
      <c r="G240" t="s">
        <v>19</v>
      </c>
      <c r="H240" s="16">
        <v>30</v>
      </c>
      <c r="I240" t="s">
        <v>23</v>
      </c>
      <c r="J240" s="16">
        <v>0</v>
      </c>
      <c r="K240" s="24" t="s">
        <v>338</v>
      </c>
      <c r="L240" s="16">
        <v>1</v>
      </c>
      <c r="M240" s="16">
        <f>SUM(E240,H240,J240)-tbl_data[[#This Row],[Coupon Value]]</f>
        <v>34</v>
      </c>
    </row>
    <row r="241" spans="1:13">
      <c r="A241" t="s">
        <v>18</v>
      </c>
      <c r="B241" s="12">
        <v>45557</v>
      </c>
      <c r="C241" s="17" t="s">
        <v>322</v>
      </c>
      <c r="D241" t="s">
        <v>19</v>
      </c>
      <c r="E241" s="16">
        <v>15</v>
      </c>
      <c r="F241" t="s">
        <v>20</v>
      </c>
      <c r="G241" t="s">
        <v>19</v>
      </c>
      <c r="H241" s="16">
        <v>30</v>
      </c>
      <c r="I241" t="s">
        <v>19</v>
      </c>
      <c r="J241" s="16">
        <v>20</v>
      </c>
      <c r="K241" s="24" t="s">
        <v>337</v>
      </c>
      <c r="L241" s="16">
        <v>15</v>
      </c>
      <c r="M241" s="16">
        <v>50</v>
      </c>
    </row>
    <row r="242" spans="1:13">
      <c r="A242" t="s">
        <v>26</v>
      </c>
      <c r="B242" s="12">
        <v>45558</v>
      </c>
      <c r="C242" s="17" t="s">
        <v>322</v>
      </c>
      <c r="D242" t="s">
        <v>23</v>
      </c>
      <c r="E242" s="16">
        <v>10</v>
      </c>
      <c r="F242" t="s">
        <v>20</v>
      </c>
      <c r="G242" t="s">
        <v>23</v>
      </c>
      <c r="H242" s="16" t="s">
        <v>311</v>
      </c>
      <c r="I242" t="s">
        <v>19</v>
      </c>
      <c r="J242" s="16">
        <v>20</v>
      </c>
      <c r="K242" s="24" t="s">
        <v>336</v>
      </c>
      <c r="L242" s="16">
        <v>5</v>
      </c>
      <c r="M242" s="16">
        <v>25</v>
      </c>
    </row>
    <row r="243" spans="1:13">
      <c r="A243" t="s">
        <v>22</v>
      </c>
      <c r="B243" s="12">
        <v>45559</v>
      </c>
      <c r="C243" s="17" t="s">
        <v>322</v>
      </c>
      <c r="D243" t="s">
        <v>19</v>
      </c>
      <c r="E243" s="16">
        <v>5</v>
      </c>
      <c r="F243" t="s">
        <v>24</v>
      </c>
      <c r="G243" t="s">
        <v>23</v>
      </c>
      <c r="H243" s="16" t="s">
        <v>311</v>
      </c>
      <c r="I243" t="s">
        <v>23</v>
      </c>
      <c r="J243" s="16">
        <v>0</v>
      </c>
      <c r="K243" s="24" t="s">
        <v>346</v>
      </c>
      <c r="L243" s="16">
        <v>0</v>
      </c>
      <c r="M243" s="16">
        <v>5</v>
      </c>
    </row>
    <row r="244" spans="1:13">
      <c r="A244" t="s">
        <v>18</v>
      </c>
      <c r="B244" s="12">
        <v>45560</v>
      </c>
      <c r="C244" s="17" t="s">
        <v>322</v>
      </c>
      <c r="D244" t="s">
        <v>23</v>
      </c>
      <c r="E244" s="16">
        <v>15</v>
      </c>
      <c r="F244" t="s">
        <v>27</v>
      </c>
      <c r="G244" t="s">
        <v>19</v>
      </c>
      <c r="H244" s="16">
        <v>30</v>
      </c>
      <c r="I244" t="s">
        <v>19</v>
      </c>
      <c r="J244" s="16">
        <v>20</v>
      </c>
      <c r="K244" s="24" t="s">
        <v>337</v>
      </c>
      <c r="L244" s="16">
        <v>20</v>
      </c>
      <c r="M244" s="16">
        <v>45</v>
      </c>
    </row>
    <row r="245" spans="1:13">
      <c r="A245" t="s">
        <v>26</v>
      </c>
      <c r="B245" s="12">
        <v>45561</v>
      </c>
      <c r="C245" s="17" t="s">
        <v>322</v>
      </c>
      <c r="D245" t="s">
        <v>19</v>
      </c>
      <c r="E245" s="16">
        <v>10</v>
      </c>
      <c r="F245" t="s">
        <v>27</v>
      </c>
      <c r="G245" t="s">
        <v>23</v>
      </c>
      <c r="H245" s="16" t="s">
        <v>311</v>
      </c>
      <c r="I245" t="s">
        <v>19</v>
      </c>
      <c r="J245" s="16">
        <v>20</v>
      </c>
      <c r="K245" s="24" t="s">
        <v>336</v>
      </c>
      <c r="L245" s="16">
        <v>12</v>
      </c>
      <c r="M245" s="16">
        <v>18</v>
      </c>
    </row>
    <row r="246" spans="1:13">
      <c r="A246" t="s">
        <v>22</v>
      </c>
      <c r="B246" s="12">
        <v>45562</v>
      </c>
      <c r="C246" s="17" t="s">
        <v>322</v>
      </c>
      <c r="D246" t="s">
        <v>23</v>
      </c>
      <c r="E246" s="16">
        <v>5</v>
      </c>
      <c r="F246" t="s">
        <v>20</v>
      </c>
      <c r="G246" t="s">
        <v>23</v>
      </c>
      <c r="H246" s="16" t="s">
        <v>311</v>
      </c>
      <c r="I246" t="s">
        <v>23</v>
      </c>
      <c r="J246" s="16">
        <v>0</v>
      </c>
      <c r="K246" s="24" t="s">
        <v>346</v>
      </c>
      <c r="L246" s="16">
        <v>2</v>
      </c>
      <c r="M246" s="16">
        <v>3</v>
      </c>
    </row>
    <row r="247" spans="1:13">
      <c r="A247" t="s">
        <v>18</v>
      </c>
      <c r="B247" s="12">
        <v>45563</v>
      </c>
      <c r="C247" s="17" t="s">
        <v>322</v>
      </c>
      <c r="D247" t="s">
        <v>19</v>
      </c>
      <c r="E247" s="16">
        <v>15</v>
      </c>
      <c r="F247" t="s">
        <v>24</v>
      </c>
      <c r="G247" t="s">
        <v>19</v>
      </c>
      <c r="H247" s="16">
        <v>30</v>
      </c>
      <c r="I247" t="s">
        <v>19</v>
      </c>
      <c r="J247" s="16">
        <v>20</v>
      </c>
      <c r="K247" s="24" t="s">
        <v>337</v>
      </c>
      <c r="L247" s="16">
        <v>5</v>
      </c>
      <c r="M247" s="16">
        <v>60</v>
      </c>
    </row>
    <row r="248" spans="1:13">
      <c r="A248" t="s">
        <v>26</v>
      </c>
      <c r="B248" s="12">
        <v>45564</v>
      </c>
      <c r="C248" s="17" t="s">
        <v>322</v>
      </c>
      <c r="D248" t="s">
        <v>23</v>
      </c>
      <c r="E248" s="16">
        <v>10</v>
      </c>
      <c r="F248" t="s">
        <v>20</v>
      </c>
      <c r="G248" t="s">
        <v>23</v>
      </c>
      <c r="H248" s="16" t="s">
        <v>311</v>
      </c>
      <c r="I248" t="s">
        <v>19</v>
      </c>
      <c r="J248" s="16">
        <v>20</v>
      </c>
      <c r="K248" s="24" t="s">
        <v>336</v>
      </c>
      <c r="L248" s="16">
        <v>10</v>
      </c>
      <c r="M248" s="16">
        <v>20</v>
      </c>
    </row>
    <row r="249" spans="1:13">
      <c r="A249" t="s">
        <v>18</v>
      </c>
      <c r="B249" s="12">
        <v>45564</v>
      </c>
      <c r="C249" s="17" t="s">
        <v>322</v>
      </c>
      <c r="D249" t="s">
        <v>23</v>
      </c>
      <c r="E249" s="16">
        <v>15</v>
      </c>
      <c r="F249" t="s">
        <v>20</v>
      </c>
      <c r="G249" t="s">
        <v>19</v>
      </c>
      <c r="H249" s="16">
        <v>30</v>
      </c>
      <c r="I249" t="s">
        <v>23</v>
      </c>
      <c r="J249" s="16">
        <v>0</v>
      </c>
      <c r="K249" s="24" t="s">
        <v>338</v>
      </c>
      <c r="L249" s="16">
        <v>20</v>
      </c>
      <c r="M249" s="16">
        <f>SUM(E249,H249,J249)-tbl_data[[#This Row],[Coupon Value]]</f>
        <v>25</v>
      </c>
    </row>
    <row r="250" spans="1:13">
      <c r="A250" t="s">
        <v>22</v>
      </c>
      <c r="B250" s="12">
        <v>45565</v>
      </c>
      <c r="C250" s="17" t="s">
        <v>322</v>
      </c>
      <c r="D250" t="s">
        <v>19</v>
      </c>
      <c r="E250" s="16">
        <v>5</v>
      </c>
      <c r="F250" t="s">
        <v>27</v>
      </c>
      <c r="G250" t="s">
        <v>23</v>
      </c>
      <c r="H250" s="16" t="s">
        <v>311</v>
      </c>
      <c r="I250" t="s">
        <v>23</v>
      </c>
      <c r="J250" s="16">
        <v>0</v>
      </c>
      <c r="K250" s="24" t="s">
        <v>346</v>
      </c>
      <c r="L250" s="16">
        <v>0</v>
      </c>
      <c r="M250" s="16">
        <v>5</v>
      </c>
    </row>
    <row r="251" spans="1:13">
      <c r="A251" t="s">
        <v>18</v>
      </c>
      <c r="B251" s="12">
        <v>45566</v>
      </c>
      <c r="C251" s="17" t="s">
        <v>323</v>
      </c>
      <c r="D251" t="s">
        <v>23</v>
      </c>
      <c r="E251" s="16">
        <v>15</v>
      </c>
      <c r="F251" t="s">
        <v>20</v>
      </c>
      <c r="G251" t="s">
        <v>19</v>
      </c>
      <c r="H251" s="16">
        <v>30</v>
      </c>
      <c r="I251" t="s">
        <v>19</v>
      </c>
      <c r="J251" s="16">
        <v>20</v>
      </c>
      <c r="K251" s="24" t="s">
        <v>337</v>
      </c>
      <c r="L251" s="16">
        <v>3</v>
      </c>
      <c r="M251" s="16">
        <v>62</v>
      </c>
    </row>
    <row r="252" spans="1:13">
      <c r="A252" t="s">
        <v>22</v>
      </c>
      <c r="B252" s="12">
        <v>45566</v>
      </c>
      <c r="C252" s="17" t="s">
        <v>323</v>
      </c>
      <c r="D252" t="s">
        <v>23</v>
      </c>
      <c r="E252" s="16">
        <v>5</v>
      </c>
      <c r="F252" t="s">
        <v>20</v>
      </c>
      <c r="G252" t="s">
        <v>19</v>
      </c>
      <c r="H252" s="16">
        <v>30</v>
      </c>
      <c r="I252" t="s">
        <v>23</v>
      </c>
      <c r="J252" s="16">
        <v>0</v>
      </c>
      <c r="K252" s="24" t="s">
        <v>338</v>
      </c>
      <c r="L252" s="16">
        <v>2</v>
      </c>
      <c r="M252" s="16">
        <f>SUM(E252,H252,J252)-tbl_data[[#This Row],[Coupon Value]]</f>
        <v>33</v>
      </c>
    </row>
    <row r="253" spans="1:13">
      <c r="A253" t="s">
        <v>26</v>
      </c>
      <c r="B253" s="12">
        <v>45567</v>
      </c>
      <c r="C253" s="17" t="s">
        <v>323</v>
      </c>
      <c r="D253" t="s">
        <v>19</v>
      </c>
      <c r="E253" s="16">
        <v>10</v>
      </c>
      <c r="F253" t="s">
        <v>24</v>
      </c>
      <c r="G253" t="s">
        <v>23</v>
      </c>
      <c r="H253" s="16" t="s">
        <v>311</v>
      </c>
      <c r="I253" t="s">
        <v>19</v>
      </c>
      <c r="J253" s="16">
        <v>20</v>
      </c>
      <c r="K253" s="24" t="s">
        <v>336</v>
      </c>
      <c r="L253" s="16">
        <v>15</v>
      </c>
      <c r="M253" s="16">
        <v>15</v>
      </c>
    </row>
    <row r="254" spans="1:13">
      <c r="A254" t="s">
        <v>22</v>
      </c>
      <c r="B254" s="12">
        <v>45568</v>
      </c>
      <c r="C254" s="17" t="s">
        <v>323</v>
      </c>
      <c r="D254" t="s">
        <v>23</v>
      </c>
      <c r="E254" s="16">
        <v>5</v>
      </c>
      <c r="F254" t="s">
        <v>20</v>
      </c>
      <c r="G254" t="s">
        <v>23</v>
      </c>
      <c r="H254" s="16" t="s">
        <v>311</v>
      </c>
      <c r="I254" t="s">
        <v>23</v>
      </c>
      <c r="J254" s="16">
        <v>0</v>
      </c>
      <c r="K254" s="24" t="s">
        <v>346</v>
      </c>
      <c r="L254" s="16">
        <v>1</v>
      </c>
      <c r="M254" s="16">
        <v>4</v>
      </c>
    </row>
    <row r="255" spans="1:13">
      <c r="A255" t="s">
        <v>18</v>
      </c>
      <c r="B255" s="12">
        <v>45569</v>
      </c>
      <c r="C255" s="17" t="s">
        <v>323</v>
      </c>
      <c r="D255" t="s">
        <v>19</v>
      </c>
      <c r="E255" s="16">
        <v>15</v>
      </c>
      <c r="F255" t="s">
        <v>27</v>
      </c>
      <c r="G255" t="s">
        <v>19</v>
      </c>
      <c r="H255" s="16">
        <v>30</v>
      </c>
      <c r="I255" t="s">
        <v>19</v>
      </c>
      <c r="J255" s="16">
        <v>20</v>
      </c>
      <c r="K255" s="24" t="s">
        <v>337</v>
      </c>
      <c r="L255" s="16">
        <v>7</v>
      </c>
      <c r="M255" s="16">
        <v>58</v>
      </c>
    </row>
    <row r="256" spans="1:13">
      <c r="A256" t="s">
        <v>26</v>
      </c>
      <c r="B256" s="12">
        <v>45570</v>
      </c>
      <c r="C256" s="17" t="s">
        <v>323</v>
      </c>
      <c r="D256" t="s">
        <v>23</v>
      </c>
      <c r="E256" s="16">
        <v>10</v>
      </c>
      <c r="F256" t="s">
        <v>20</v>
      </c>
      <c r="G256" t="s">
        <v>23</v>
      </c>
      <c r="H256" s="16" t="s">
        <v>311</v>
      </c>
      <c r="I256" t="s">
        <v>19</v>
      </c>
      <c r="J256" s="16">
        <v>20</v>
      </c>
      <c r="K256" s="24" t="s">
        <v>336</v>
      </c>
      <c r="L256" s="16">
        <v>10</v>
      </c>
      <c r="M256" s="16">
        <v>20</v>
      </c>
    </row>
    <row r="257" spans="1:13">
      <c r="A257" t="s">
        <v>22</v>
      </c>
      <c r="B257" s="12">
        <v>45571</v>
      </c>
      <c r="C257" s="17" t="s">
        <v>323</v>
      </c>
      <c r="D257" t="s">
        <v>19</v>
      </c>
      <c r="E257" s="16">
        <v>5</v>
      </c>
      <c r="F257" t="s">
        <v>24</v>
      </c>
      <c r="G257" t="s">
        <v>23</v>
      </c>
      <c r="H257" s="16" t="s">
        <v>311</v>
      </c>
      <c r="I257" t="s">
        <v>23</v>
      </c>
      <c r="J257" s="16">
        <v>0</v>
      </c>
      <c r="K257" s="24" t="s">
        <v>346</v>
      </c>
      <c r="L257" s="16">
        <v>0</v>
      </c>
      <c r="M257" s="16">
        <v>5</v>
      </c>
    </row>
    <row r="258" spans="1:13">
      <c r="A258" t="s">
        <v>18</v>
      </c>
      <c r="B258" s="12">
        <v>45572</v>
      </c>
      <c r="C258" s="17" t="s">
        <v>323</v>
      </c>
      <c r="D258" t="s">
        <v>23</v>
      </c>
      <c r="E258" s="16">
        <v>15</v>
      </c>
      <c r="F258" t="s">
        <v>20</v>
      </c>
      <c r="G258" t="s">
        <v>19</v>
      </c>
      <c r="H258" s="16">
        <v>30</v>
      </c>
      <c r="I258" t="s">
        <v>19</v>
      </c>
      <c r="J258" s="16">
        <v>20</v>
      </c>
      <c r="K258" s="24" t="s">
        <v>337</v>
      </c>
      <c r="L258" s="16">
        <v>20</v>
      </c>
      <c r="M258" s="16">
        <v>45</v>
      </c>
    </row>
    <row r="259" spans="1:13">
      <c r="A259" t="s">
        <v>26</v>
      </c>
      <c r="B259" s="12">
        <v>45573</v>
      </c>
      <c r="C259" s="17" t="s">
        <v>323</v>
      </c>
      <c r="D259" t="s">
        <v>19</v>
      </c>
      <c r="E259" s="16">
        <v>10</v>
      </c>
      <c r="F259" t="s">
        <v>27</v>
      </c>
      <c r="G259" t="s">
        <v>23</v>
      </c>
      <c r="H259" s="16" t="s">
        <v>311</v>
      </c>
      <c r="I259" t="s">
        <v>19</v>
      </c>
      <c r="J259" s="16">
        <v>20</v>
      </c>
      <c r="K259" s="24" t="s">
        <v>336</v>
      </c>
      <c r="L259" s="16">
        <v>15</v>
      </c>
      <c r="M259" s="16">
        <v>15</v>
      </c>
    </row>
    <row r="260" spans="1:13">
      <c r="A260" t="s">
        <v>22</v>
      </c>
      <c r="B260" s="12">
        <v>45574</v>
      </c>
      <c r="C260" s="17" t="s">
        <v>323</v>
      </c>
      <c r="D260" t="s">
        <v>23</v>
      </c>
      <c r="E260" s="16">
        <v>5</v>
      </c>
      <c r="F260" t="s">
        <v>20</v>
      </c>
      <c r="G260" t="s">
        <v>23</v>
      </c>
      <c r="H260" s="16" t="s">
        <v>311</v>
      </c>
      <c r="I260" t="s">
        <v>23</v>
      </c>
      <c r="J260" s="16">
        <v>0</v>
      </c>
      <c r="K260" s="24" t="s">
        <v>346</v>
      </c>
      <c r="L260" s="16">
        <v>1</v>
      </c>
      <c r="M260" s="16">
        <v>4</v>
      </c>
    </row>
    <row r="261" spans="1:13">
      <c r="A261" t="s">
        <v>18</v>
      </c>
      <c r="B261" s="12">
        <v>45575</v>
      </c>
      <c r="C261" s="17" t="s">
        <v>323</v>
      </c>
      <c r="D261" t="s">
        <v>19</v>
      </c>
      <c r="E261" s="16">
        <v>15</v>
      </c>
      <c r="F261" t="s">
        <v>24</v>
      </c>
      <c r="G261" t="s">
        <v>19</v>
      </c>
      <c r="H261" s="16">
        <v>30</v>
      </c>
      <c r="I261" t="s">
        <v>19</v>
      </c>
      <c r="J261" s="16">
        <v>20</v>
      </c>
      <c r="K261" s="24" t="s">
        <v>337</v>
      </c>
      <c r="L261" s="16">
        <v>3</v>
      </c>
      <c r="M261" s="16">
        <v>62</v>
      </c>
    </row>
    <row r="262" spans="1:13">
      <c r="A262" t="s">
        <v>26</v>
      </c>
      <c r="B262" s="12">
        <v>45576</v>
      </c>
      <c r="C262" s="17" t="s">
        <v>323</v>
      </c>
      <c r="D262" t="s">
        <v>23</v>
      </c>
      <c r="E262" s="16">
        <v>10</v>
      </c>
      <c r="F262" t="s">
        <v>20</v>
      </c>
      <c r="G262" t="s">
        <v>23</v>
      </c>
      <c r="H262" s="16" t="s">
        <v>311</v>
      </c>
      <c r="I262" t="s">
        <v>19</v>
      </c>
      <c r="J262" s="16">
        <v>20</v>
      </c>
      <c r="K262" s="24" t="s">
        <v>336</v>
      </c>
      <c r="L262" s="16">
        <v>10</v>
      </c>
      <c r="M262" s="16">
        <v>20</v>
      </c>
    </row>
    <row r="263" spans="1:13">
      <c r="A263" t="s">
        <v>22</v>
      </c>
      <c r="B263" s="12">
        <v>45577</v>
      </c>
      <c r="C263" s="17" t="s">
        <v>323</v>
      </c>
      <c r="D263" t="s">
        <v>19</v>
      </c>
      <c r="E263" s="16">
        <v>5</v>
      </c>
      <c r="F263" t="s">
        <v>27</v>
      </c>
      <c r="G263" t="s">
        <v>23</v>
      </c>
      <c r="H263" s="16" t="s">
        <v>311</v>
      </c>
      <c r="I263" t="s">
        <v>23</v>
      </c>
      <c r="J263" s="16">
        <v>0</v>
      </c>
      <c r="K263" s="24" t="s">
        <v>346</v>
      </c>
      <c r="L263" s="16">
        <v>0</v>
      </c>
      <c r="M263" s="16">
        <v>5</v>
      </c>
    </row>
    <row r="264" spans="1:13">
      <c r="A264" t="s">
        <v>18</v>
      </c>
      <c r="B264" s="12">
        <v>45578</v>
      </c>
      <c r="C264" s="17" t="s">
        <v>323</v>
      </c>
      <c r="D264" t="s">
        <v>23</v>
      </c>
      <c r="E264" s="16">
        <v>15</v>
      </c>
      <c r="F264" t="s">
        <v>20</v>
      </c>
      <c r="G264" t="s">
        <v>19</v>
      </c>
      <c r="H264" s="16">
        <v>30</v>
      </c>
      <c r="I264" t="s">
        <v>19</v>
      </c>
      <c r="J264" s="16">
        <v>20</v>
      </c>
      <c r="K264" s="24" t="s">
        <v>337</v>
      </c>
      <c r="L264" s="16">
        <v>15</v>
      </c>
      <c r="M264" s="16">
        <v>50</v>
      </c>
    </row>
    <row r="265" spans="1:13">
      <c r="A265" t="s">
        <v>18</v>
      </c>
      <c r="B265" s="12">
        <v>45578</v>
      </c>
      <c r="C265" s="17" t="s">
        <v>323</v>
      </c>
      <c r="D265" t="s">
        <v>19</v>
      </c>
      <c r="E265" s="16">
        <v>15</v>
      </c>
      <c r="F265" t="s">
        <v>24</v>
      </c>
      <c r="G265" t="s">
        <v>19</v>
      </c>
      <c r="H265" s="16">
        <v>30</v>
      </c>
      <c r="I265" t="s">
        <v>23</v>
      </c>
      <c r="J265" s="16">
        <v>0</v>
      </c>
      <c r="K265" s="24" t="s">
        <v>338</v>
      </c>
      <c r="L265" s="16">
        <v>3</v>
      </c>
      <c r="M265" s="16">
        <f>SUM(E265,H265,J265)-tbl_data[[#This Row],[Coupon Value]]</f>
        <v>42</v>
      </c>
    </row>
    <row r="266" spans="1:13">
      <c r="A266" t="s">
        <v>26</v>
      </c>
      <c r="B266" s="12">
        <v>45579</v>
      </c>
      <c r="C266" s="17" t="s">
        <v>323</v>
      </c>
      <c r="D266" t="s">
        <v>19</v>
      </c>
      <c r="E266" s="16">
        <v>10</v>
      </c>
      <c r="F266" t="s">
        <v>24</v>
      </c>
      <c r="G266" t="s">
        <v>23</v>
      </c>
      <c r="H266" s="16" t="s">
        <v>311</v>
      </c>
      <c r="I266" t="s">
        <v>19</v>
      </c>
      <c r="J266" s="16">
        <v>20</v>
      </c>
      <c r="K266" s="24" t="s">
        <v>336</v>
      </c>
      <c r="L266" s="16">
        <v>15</v>
      </c>
      <c r="M266" s="16">
        <v>15</v>
      </c>
    </row>
    <row r="267" spans="1:13">
      <c r="A267" t="s">
        <v>22</v>
      </c>
      <c r="B267" s="12">
        <v>45580</v>
      </c>
      <c r="C267" s="17" t="s">
        <v>323</v>
      </c>
      <c r="D267" t="s">
        <v>23</v>
      </c>
      <c r="E267" s="16">
        <v>5</v>
      </c>
      <c r="F267" t="s">
        <v>20</v>
      </c>
      <c r="G267" t="s">
        <v>23</v>
      </c>
      <c r="H267" s="16" t="s">
        <v>311</v>
      </c>
      <c r="I267" t="s">
        <v>23</v>
      </c>
      <c r="J267" s="16">
        <v>0</v>
      </c>
      <c r="K267" s="24" t="s">
        <v>346</v>
      </c>
      <c r="L267" s="16">
        <v>1</v>
      </c>
      <c r="M267" s="16">
        <v>4</v>
      </c>
    </row>
    <row r="268" spans="1:13">
      <c r="A268" t="s">
        <v>18</v>
      </c>
      <c r="B268" s="12">
        <v>45581</v>
      </c>
      <c r="C268" s="17" t="s">
        <v>323</v>
      </c>
      <c r="D268" t="s">
        <v>19</v>
      </c>
      <c r="E268" s="16">
        <v>15</v>
      </c>
      <c r="F268" t="s">
        <v>27</v>
      </c>
      <c r="G268" t="s">
        <v>19</v>
      </c>
      <c r="H268" s="16">
        <v>30</v>
      </c>
      <c r="I268" t="s">
        <v>19</v>
      </c>
      <c r="J268" s="16">
        <v>20</v>
      </c>
      <c r="K268" s="24" t="s">
        <v>337</v>
      </c>
      <c r="L268" s="16">
        <v>7</v>
      </c>
      <c r="M268" s="16">
        <v>58</v>
      </c>
    </row>
    <row r="269" spans="1:13">
      <c r="A269" t="s">
        <v>26</v>
      </c>
      <c r="B269" s="12">
        <v>45582</v>
      </c>
      <c r="C269" s="17" t="s">
        <v>323</v>
      </c>
      <c r="D269" t="s">
        <v>23</v>
      </c>
      <c r="E269" s="16">
        <v>10</v>
      </c>
      <c r="F269" t="s">
        <v>20</v>
      </c>
      <c r="G269" t="s">
        <v>23</v>
      </c>
      <c r="H269" s="16" t="s">
        <v>311</v>
      </c>
      <c r="I269" t="s">
        <v>19</v>
      </c>
      <c r="J269" s="16">
        <v>20</v>
      </c>
      <c r="K269" s="24" t="s">
        <v>336</v>
      </c>
      <c r="L269" s="16">
        <v>10</v>
      </c>
      <c r="M269" s="16">
        <v>20</v>
      </c>
    </row>
    <row r="270" spans="1:13">
      <c r="A270" t="s">
        <v>22</v>
      </c>
      <c r="B270" s="12">
        <v>45583</v>
      </c>
      <c r="C270" s="17" t="s">
        <v>323</v>
      </c>
      <c r="D270" t="s">
        <v>19</v>
      </c>
      <c r="E270" s="16">
        <v>5</v>
      </c>
      <c r="F270" t="s">
        <v>24</v>
      </c>
      <c r="G270" t="s">
        <v>23</v>
      </c>
      <c r="H270" s="16" t="s">
        <v>311</v>
      </c>
      <c r="I270" t="s">
        <v>23</v>
      </c>
      <c r="J270" s="16">
        <v>0</v>
      </c>
      <c r="K270" s="24" t="s">
        <v>346</v>
      </c>
      <c r="L270" s="16">
        <v>0</v>
      </c>
      <c r="M270" s="16">
        <v>5</v>
      </c>
    </row>
    <row r="271" spans="1:13">
      <c r="A271" t="s">
        <v>18</v>
      </c>
      <c r="B271" s="12">
        <v>45584</v>
      </c>
      <c r="C271" s="17" t="s">
        <v>323</v>
      </c>
      <c r="D271" t="s">
        <v>23</v>
      </c>
      <c r="E271" s="16">
        <v>15</v>
      </c>
      <c r="F271" t="s">
        <v>20</v>
      </c>
      <c r="G271" t="s">
        <v>19</v>
      </c>
      <c r="H271" s="16">
        <v>30</v>
      </c>
      <c r="I271" t="s">
        <v>19</v>
      </c>
      <c r="J271" s="16">
        <v>20</v>
      </c>
      <c r="K271" s="24" t="s">
        <v>337</v>
      </c>
      <c r="L271" s="16">
        <v>15</v>
      </c>
      <c r="M271" s="16">
        <v>50</v>
      </c>
    </row>
    <row r="272" spans="1:13">
      <c r="A272" t="s">
        <v>26</v>
      </c>
      <c r="B272" s="12">
        <v>45585</v>
      </c>
      <c r="C272" s="17" t="s">
        <v>323</v>
      </c>
      <c r="D272" t="s">
        <v>19</v>
      </c>
      <c r="E272" s="16">
        <v>10</v>
      </c>
      <c r="F272" t="s">
        <v>27</v>
      </c>
      <c r="G272" t="s">
        <v>23</v>
      </c>
      <c r="H272" s="16" t="s">
        <v>311</v>
      </c>
      <c r="I272" t="s">
        <v>19</v>
      </c>
      <c r="J272" s="16">
        <v>20</v>
      </c>
      <c r="K272" s="24" t="s">
        <v>336</v>
      </c>
      <c r="L272" s="16">
        <v>12</v>
      </c>
      <c r="M272" s="16">
        <v>18</v>
      </c>
    </row>
    <row r="273" spans="1:13">
      <c r="A273" t="s">
        <v>22</v>
      </c>
      <c r="B273" s="12">
        <v>45586</v>
      </c>
      <c r="C273" s="17" t="s">
        <v>323</v>
      </c>
      <c r="D273" t="s">
        <v>23</v>
      </c>
      <c r="E273" s="16">
        <v>5</v>
      </c>
      <c r="F273" t="s">
        <v>20</v>
      </c>
      <c r="G273" t="s">
        <v>23</v>
      </c>
      <c r="H273" s="16" t="s">
        <v>311</v>
      </c>
      <c r="I273" t="s">
        <v>23</v>
      </c>
      <c r="J273" s="16">
        <v>0</v>
      </c>
      <c r="K273" s="24" t="s">
        <v>346</v>
      </c>
      <c r="L273" s="16">
        <v>2</v>
      </c>
      <c r="M273" s="16">
        <v>3</v>
      </c>
    </row>
    <row r="274" spans="1:13">
      <c r="A274" t="s">
        <v>18</v>
      </c>
      <c r="B274" s="12">
        <v>45587</v>
      </c>
      <c r="C274" s="17" t="s">
        <v>323</v>
      </c>
      <c r="D274" t="s">
        <v>19</v>
      </c>
      <c r="E274" s="16">
        <v>15</v>
      </c>
      <c r="F274" t="s">
        <v>24</v>
      </c>
      <c r="G274" t="s">
        <v>19</v>
      </c>
      <c r="H274" s="16">
        <v>30</v>
      </c>
      <c r="I274" t="s">
        <v>19</v>
      </c>
      <c r="J274" s="16">
        <v>20</v>
      </c>
      <c r="K274" s="24" t="s">
        <v>337</v>
      </c>
      <c r="L274" s="16">
        <v>5</v>
      </c>
      <c r="M274" s="16">
        <v>60</v>
      </c>
    </row>
    <row r="275" spans="1:13">
      <c r="A275" t="s">
        <v>18</v>
      </c>
      <c r="B275" s="12">
        <v>45587</v>
      </c>
      <c r="C275" s="17" t="s">
        <v>323</v>
      </c>
      <c r="D275" t="s">
        <v>19</v>
      </c>
      <c r="E275" s="16">
        <v>15</v>
      </c>
      <c r="F275" t="s">
        <v>20</v>
      </c>
      <c r="G275" t="s">
        <v>19</v>
      </c>
      <c r="H275" s="16">
        <v>30</v>
      </c>
      <c r="I275" t="s">
        <v>23</v>
      </c>
      <c r="J275" s="16">
        <v>0</v>
      </c>
      <c r="K275" s="24" t="s">
        <v>338</v>
      </c>
      <c r="L275" s="16">
        <v>15</v>
      </c>
      <c r="M275" s="16">
        <f>SUM(E275,H275,J275)-tbl_data[[#This Row],[Coupon Value]]</f>
        <v>30</v>
      </c>
    </row>
    <row r="276" spans="1:13">
      <c r="A276" t="s">
        <v>26</v>
      </c>
      <c r="B276" s="12">
        <v>45588</v>
      </c>
      <c r="C276" s="17" t="s">
        <v>323</v>
      </c>
      <c r="D276" t="s">
        <v>23</v>
      </c>
      <c r="E276" s="16">
        <v>10</v>
      </c>
      <c r="F276" t="s">
        <v>20</v>
      </c>
      <c r="G276" t="s">
        <v>23</v>
      </c>
      <c r="H276" s="16" t="s">
        <v>311</v>
      </c>
      <c r="I276" t="s">
        <v>19</v>
      </c>
      <c r="J276" s="16">
        <v>20</v>
      </c>
      <c r="K276" s="24" t="s">
        <v>336</v>
      </c>
      <c r="L276" s="16">
        <v>10</v>
      </c>
      <c r="M276" s="16">
        <v>20</v>
      </c>
    </row>
    <row r="277" spans="1:13">
      <c r="A277" t="s">
        <v>22</v>
      </c>
      <c r="B277" s="12">
        <v>45589</v>
      </c>
      <c r="C277" s="17" t="s">
        <v>323</v>
      </c>
      <c r="D277" t="s">
        <v>19</v>
      </c>
      <c r="E277" s="16">
        <v>5</v>
      </c>
      <c r="F277" t="s">
        <v>27</v>
      </c>
      <c r="G277" t="s">
        <v>23</v>
      </c>
      <c r="H277" s="16" t="s">
        <v>311</v>
      </c>
      <c r="I277" t="s">
        <v>23</v>
      </c>
      <c r="J277" s="16">
        <v>0</v>
      </c>
      <c r="K277" s="24" t="s">
        <v>346</v>
      </c>
      <c r="L277" s="16">
        <v>0</v>
      </c>
      <c r="M277" s="16">
        <v>5</v>
      </c>
    </row>
    <row r="278" spans="1:13">
      <c r="A278" t="s">
        <v>18</v>
      </c>
      <c r="B278" s="12">
        <v>45590</v>
      </c>
      <c r="C278" s="17" t="s">
        <v>323</v>
      </c>
      <c r="D278" t="s">
        <v>23</v>
      </c>
      <c r="E278" s="16">
        <v>15</v>
      </c>
      <c r="F278" t="s">
        <v>20</v>
      </c>
      <c r="G278" t="s">
        <v>19</v>
      </c>
      <c r="H278" s="16">
        <v>30</v>
      </c>
      <c r="I278" t="s">
        <v>19</v>
      </c>
      <c r="J278" s="16">
        <v>20</v>
      </c>
      <c r="K278" s="24" t="s">
        <v>337</v>
      </c>
      <c r="L278" s="16">
        <v>3</v>
      </c>
      <c r="M278" s="16">
        <v>62</v>
      </c>
    </row>
    <row r="279" spans="1:13">
      <c r="A279" t="s">
        <v>26</v>
      </c>
      <c r="B279" s="12">
        <v>45591</v>
      </c>
      <c r="C279" s="17" t="s">
        <v>323</v>
      </c>
      <c r="D279" t="s">
        <v>19</v>
      </c>
      <c r="E279" s="16">
        <v>10</v>
      </c>
      <c r="F279" t="s">
        <v>24</v>
      </c>
      <c r="G279" t="s">
        <v>23</v>
      </c>
      <c r="H279" s="16" t="s">
        <v>311</v>
      </c>
      <c r="I279" t="s">
        <v>19</v>
      </c>
      <c r="J279" s="16">
        <v>20</v>
      </c>
      <c r="K279" s="24" t="s">
        <v>336</v>
      </c>
      <c r="L279" s="16">
        <v>15</v>
      </c>
      <c r="M279" s="16">
        <v>15</v>
      </c>
    </row>
    <row r="280" spans="1:13">
      <c r="A280" t="s">
        <v>22</v>
      </c>
      <c r="B280" s="12">
        <v>45592</v>
      </c>
      <c r="C280" s="17" t="s">
        <v>323</v>
      </c>
      <c r="D280" t="s">
        <v>23</v>
      </c>
      <c r="E280" s="16">
        <v>5</v>
      </c>
      <c r="F280" t="s">
        <v>20</v>
      </c>
      <c r="G280" t="s">
        <v>23</v>
      </c>
      <c r="H280" s="16" t="s">
        <v>311</v>
      </c>
      <c r="I280" t="s">
        <v>23</v>
      </c>
      <c r="J280" s="16">
        <v>0</v>
      </c>
      <c r="K280" s="24" t="s">
        <v>346</v>
      </c>
      <c r="L280" s="16">
        <v>1</v>
      </c>
      <c r="M280" s="16">
        <v>4</v>
      </c>
    </row>
    <row r="281" spans="1:13">
      <c r="A281" t="s">
        <v>18</v>
      </c>
      <c r="B281" s="12">
        <v>45593</v>
      </c>
      <c r="C281" s="17" t="s">
        <v>323</v>
      </c>
      <c r="D281" t="s">
        <v>19</v>
      </c>
      <c r="E281" s="16">
        <v>15</v>
      </c>
      <c r="F281" t="s">
        <v>27</v>
      </c>
      <c r="G281" t="s">
        <v>19</v>
      </c>
      <c r="H281" s="16">
        <v>30</v>
      </c>
      <c r="I281" t="s">
        <v>19</v>
      </c>
      <c r="J281" s="16">
        <v>20</v>
      </c>
      <c r="K281" s="24" t="s">
        <v>337</v>
      </c>
      <c r="L281" s="16">
        <v>7</v>
      </c>
      <c r="M281" s="16">
        <v>58</v>
      </c>
    </row>
    <row r="282" spans="1:13">
      <c r="A282" t="s">
        <v>26</v>
      </c>
      <c r="B282" s="12">
        <v>45594</v>
      </c>
      <c r="C282" s="17" t="s">
        <v>323</v>
      </c>
      <c r="D282" t="s">
        <v>23</v>
      </c>
      <c r="E282" s="16">
        <v>10</v>
      </c>
      <c r="F282" t="s">
        <v>20</v>
      </c>
      <c r="G282" t="s">
        <v>23</v>
      </c>
      <c r="H282" s="16" t="s">
        <v>311</v>
      </c>
      <c r="I282" t="s">
        <v>19</v>
      </c>
      <c r="J282" s="16">
        <v>20</v>
      </c>
      <c r="K282" s="24" t="s">
        <v>336</v>
      </c>
      <c r="L282" s="16">
        <v>10</v>
      </c>
      <c r="M282" s="16">
        <v>20</v>
      </c>
    </row>
    <row r="283" spans="1:13">
      <c r="A283" t="s">
        <v>22</v>
      </c>
      <c r="B283" s="12">
        <v>45595</v>
      </c>
      <c r="C283" s="17" t="s">
        <v>323</v>
      </c>
      <c r="D283" t="s">
        <v>19</v>
      </c>
      <c r="E283" s="16">
        <v>5</v>
      </c>
      <c r="F283" t="s">
        <v>24</v>
      </c>
      <c r="G283" t="s">
        <v>23</v>
      </c>
      <c r="H283" s="16" t="s">
        <v>311</v>
      </c>
      <c r="I283" t="s">
        <v>23</v>
      </c>
      <c r="J283" s="16">
        <v>0</v>
      </c>
      <c r="K283" s="24" t="s">
        <v>346</v>
      </c>
      <c r="L283" s="16">
        <v>0</v>
      </c>
      <c r="M283" s="16">
        <v>5</v>
      </c>
    </row>
    <row r="284" spans="1:13">
      <c r="A284" t="s">
        <v>26</v>
      </c>
      <c r="B284" s="12">
        <v>45595</v>
      </c>
      <c r="C284" s="17" t="s">
        <v>323</v>
      </c>
      <c r="D284" t="s">
        <v>19</v>
      </c>
      <c r="E284" s="16">
        <v>10</v>
      </c>
      <c r="F284" t="s">
        <v>27</v>
      </c>
      <c r="G284" t="s">
        <v>19</v>
      </c>
      <c r="H284" s="16">
        <v>30</v>
      </c>
      <c r="I284" t="s">
        <v>23</v>
      </c>
      <c r="J284" s="16">
        <v>0</v>
      </c>
      <c r="K284" s="24" t="s">
        <v>338</v>
      </c>
      <c r="L284" s="16">
        <v>12</v>
      </c>
      <c r="M284" s="16">
        <f>SUM(E284,H284,J284)-tbl_data[[#This Row],[Coupon Value]]</f>
        <v>28</v>
      </c>
    </row>
    <row r="285" spans="1:13">
      <c r="A285" t="s">
        <v>18</v>
      </c>
      <c r="B285" s="12">
        <v>45596</v>
      </c>
      <c r="C285" s="17" t="s">
        <v>323</v>
      </c>
      <c r="D285" t="s">
        <v>23</v>
      </c>
      <c r="E285" s="16">
        <v>15</v>
      </c>
      <c r="F285" t="s">
        <v>20</v>
      </c>
      <c r="G285" t="s">
        <v>19</v>
      </c>
      <c r="H285" s="16">
        <v>30</v>
      </c>
      <c r="I285" t="s">
        <v>19</v>
      </c>
      <c r="J285" s="16">
        <v>20</v>
      </c>
      <c r="K285" s="24" t="s">
        <v>337</v>
      </c>
      <c r="L285" s="16">
        <v>20</v>
      </c>
      <c r="M285" s="16">
        <v>45</v>
      </c>
    </row>
    <row r="286" spans="1:13">
      <c r="A286" t="s">
        <v>26</v>
      </c>
      <c r="B286" s="12">
        <v>45597</v>
      </c>
      <c r="C286" s="17" t="s">
        <v>324</v>
      </c>
      <c r="D286" t="s">
        <v>19</v>
      </c>
      <c r="E286" s="16">
        <v>10</v>
      </c>
      <c r="F286" t="s">
        <v>27</v>
      </c>
      <c r="G286" t="s">
        <v>23</v>
      </c>
      <c r="H286" s="16" t="s">
        <v>311</v>
      </c>
      <c r="I286" t="s">
        <v>19</v>
      </c>
      <c r="J286" s="16">
        <v>20</v>
      </c>
      <c r="K286" s="24" t="s">
        <v>336</v>
      </c>
      <c r="L286" s="16">
        <v>15</v>
      </c>
      <c r="M286" s="16">
        <v>15</v>
      </c>
    </row>
    <row r="287" spans="1:13">
      <c r="A287" t="s">
        <v>22</v>
      </c>
      <c r="B287" s="12">
        <v>45598</v>
      </c>
      <c r="C287" s="17" t="s">
        <v>324</v>
      </c>
      <c r="D287" t="s">
        <v>23</v>
      </c>
      <c r="E287" s="16">
        <v>5</v>
      </c>
      <c r="F287" t="s">
        <v>20</v>
      </c>
      <c r="G287" t="s">
        <v>23</v>
      </c>
      <c r="H287" s="16" t="s">
        <v>311</v>
      </c>
      <c r="I287" t="s">
        <v>23</v>
      </c>
      <c r="J287" s="16">
        <v>0</v>
      </c>
      <c r="K287" s="24" t="s">
        <v>346</v>
      </c>
      <c r="L287" s="16">
        <v>1</v>
      </c>
      <c r="M287" s="16">
        <v>4</v>
      </c>
    </row>
    <row r="288" spans="1:13">
      <c r="A288" t="s">
        <v>18</v>
      </c>
      <c r="B288" s="12">
        <v>45599</v>
      </c>
      <c r="C288" s="17" t="s">
        <v>324</v>
      </c>
      <c r="D288" t="s">
        <v>19</v>
      </c>
      <c r="E288" s="16">
        <v>15</v>
      </c>
      <c r="F288" t="s">
        <v>24</v>
      </c>
      <c r="G288" t="s">
        <v>19</v>
      </c>
      <c r="H288" s="16">
        <v>30</v>
      </c>
      <c r="I288" t="s">
        <v>19</v>
      </c>
      <c r="J288" s="16">
        <v>20</v>
      </c>
      <c r="K288" s="24" t="s">
        <v>337</v>
      </c>
      <c r="L288" s="16">
        <v>3</v>
      </c>
      <c r="M288" s="16">
        <v>62</v>
      </c>
    </row>
    <row r="289" spans="1:13">
      <c r="A289" t="s">
        <v>22</v>
      </c>
      <c r="B289" s="12">
        <v>45599</v>
      </c>
      <c r="C289" s="17" t="s">
        <v>324</v>
      </c>
      <c r="D289" t="s">
        <v>23</v>
      </c>
      <c r="E289" s="16">
        <v>5</v>
      </c>
      <c r="F289" t="s">
        <v>27</v>
      </c>
      <c r="G289" t="s">
        <v>19</v>
      </c>
      <c r="H289" s="16">
        <v>30</v>
      </c>
      <c r="I289" t="s">
        <v>23</v>
      </c>
      <c r="J289" s="16">
        <v>0</v>
      </c>
      <c r="K289" s="24" t="s">
        <v>338</v>
      </c>
      <c r="L289" s="16">
        <v>1</v>
      </c>
      <c r="M289" s="16">
        <f>SUM(E289,H289,J289)-tbl_data[[#This Row],[Coupon Value]]</f>
        <v>34</v>
      </c>
    </row>
    <row r="290" spans="1:13">
      <c r="A290" t="s">
        <v>26</v>
      </c>
      <c r="B290" s="12">
        <v>45600</v>
      </c>
      <c r="C290" s="17" t="s">
        <v>324</v>
      </c>
      <c r="D290" t="s">
        <v>23</v>
      </c>
      <c r="E290" s="16">
        <v>10</v>
      </c>
      <c r="F290" t="s">
        <v>20</v>
      </c>
      <c r="G290" t="s">
        <v>23</v>
      </c>
      <c r="H290" s="16" t="s">
        <v>311</v>
      </c>
      <c r="I290" t="s">
        <v>19</v>
      </c>
      <c r="J290" s="16">
        <v>20</v>
      </c>
      <c r="K290" s="24" t="s">
        <v>336</v>
      </c>
      <c r="L290" s="16">
        <v>10</v>
      </c>
      <c r="M290" s="16">
        <v>20</v>
      </c>
    </row>
    <row r="291" spans="1:13">
      <c r="A291" t="s">
        <v>26</v>
      </c>
      <c r="B291" s="12">
        <v>45600</v>
      </c>
      <c r="C291" s="17" t="s">
        <v>324</v>
      </c>
      <c r="D291" t="s">
        <v>19</v>
      </c>
      <c r="E291" s="16">
        <v>10</v>
      </c>
      <c r="F291" t="s">
        <v>24</v>
      </c>
      <c r="G291" t="s">
        <v>19</v>
      </c>
      <c r="H291" s="16">
        <v>30</v>
      </c>
      <c r="I291" t="s">
        <v>23</v>
      </c>
      <c r="J291" s="16">
        <v>0</v>
      </c>
      <c r="K291" s="24" t="s">
        <v>338</v>
      </c>
      <c r="L291" s="16">
        <v>15</v>
      </c>
      <c r="M291" s="16">
        <f>SUM(E291,H291,J291)-tbl_data[[#This Row],[Coupon Value]]</f>
        <v>25</v>
      </c>
    </row>
    <row r="292" spans="1:13">
      <c r="A292" t="s">
        <v>22</v>
      </c>
      <c r="B292" s="12">
        <v>45601</v>
      </c>
      <c r="C292" s="17" t="s">
        <v>324</v>
      </c>
      <c r="D292" t="s">
        <v>19</v>
      </c>
      <c r="E292" s="16">
        <v>5</v>
      </c>
      <c r="F292" t="s">
        <v>27</v>
      </c>
      <c r="G292" t="s">
        <v>23</v>
      </c>
      <c r="H292" s="16" t="s">
        <v>311</v>
      </c>
      <c r="I292" t="s">
        <v>23</v>
      </c>
      <c r="J292" s="16">
        <v>0</v>
      </c>
      <c r="K292" s="24" t="s">
        <v>346</v>
      </c>
      <c r="L292" s="16">
        <v>0</v>
      </c>
      <c r="M292" s="16">
        <v>5</v>
      </c>
    </row>
    <row r="293" spans="1:13">
      <c r="A293" t="s">
        <v>18</v>
      </c>
      <c r="B293" s="12">
        <v>45602</v>
      </c>
      <c r="C293" s="17" t="s">
        <v>324</v>
      </c>
      <c r="D293" t="s">
        <v>23</v>
      </c>
      <c r="E293" s="16">
        <v>15</v>
      </c>
      <c r="F293" t="s">
        <v>20</v>
      </c>
      <c r="G293" t="s">
        <v>19</v>
      </c>
      <c r="H293" s="16">
        <v>30</v>
      </c>
      <c r="I293" t="s">
        <v>19</v>
      </c>
      <c r="J293" s="16">
        <v>20</v>
      </c>
      <c r="K293" s="24" t="s">
        <v>337</v>
      </c>
      <c r="L293" s="16">
        <v>15</v>
      </c>
      <c r="M293" s="16">
        <v>50</v>
      </c>
    </row>
    <row r="294" spans="1:13">
      <c r="A294" t="s">
        <v>22</v>
      </c>
      <c r="B294" s="12">
        <v>45603</v>
      </c>
      <c r="C294" s="17" t="s">
        <v>324</v>
      </c>
      <c r="D294" t="s">
        <v>19</v>
      </c>
      <c r="E294" s="16">
        <v>5</v>
      </c>
      <c r="F294" t="s">
        <v>20</v>
      </c>
      <c r="G294" t="s">
        <v>23</v>
      </c>
      <c r="H294" s="16" t="s">
        <v>311</v>
      </c>
      <c r="I294" t="s">
        <v>23</v>
      </c>
      <c r="J294" s="16">
        <v>0</v>
      </c>
      <c r="K294" s="24" t="s">
        <v>346</v>
      </c>
      <c r="L294" s="16">
        <v>0</v>
      </c>
      <c r="M294" s="16">
        <v>5</v>
      </c>
    </row>
    <row r="295" spans="1:13">
      <c r="A295" t="s">
        <v>18</v>
      </c>
      <c r="B295" s="12">
        <v>45604</v>
      </c>
      <c r="C295" s="17" t="s">
        <v>324</v>
      </c>
      <c r="D295" t="s">
        <v>23</v>
      </c>
      <c r="E295" s="16">
        <v>15</v>
      </c>
      <c r="F295" t="s">
        <v>27</v>
      </c>
      <c r="G295" t="s">
        <v>19</v>
      </c>
      <c r="H295" s="16">
        <v>30</v>
      </c>
      <c r="I295" t="s">
        <v>19</v>
      </c>
      <c r="J295" s="16">
        <v>20</v>
      </c>
      <c r="K295" s="24" t="s">
        <v>337</v>
      </c>
      <c r="L295" s="16">
        <v>7</v>
      </c>
      <c r="M295" s="16">
        <v>58</v>
      </c>
    </row>
    <row r="296" spans="1:13">
      <c r="A296" t="s">
        <v>26</v>
      </c>
      <c r="B296" s="12">
        <v>45605</v>
      </c>
      <c r="C296" s="17" t="s">
        <v>324</v>
      </c>
      <c r="D296" t="s">
        <v>19</v>
      </c>
      <c r="E296" s="16">
        <v>10</v>
      </c>
      <c r="F296" t="s">
        <v>24</v>
      </c>
      <c r="G296" t="s">
        <v>23</v>
      </c>
      <c r="H296" s="16" t="s">
        <v>311</v>
      </c>
      <c r="I296" t="s">
        <v>19</v>
      </c>
      <c r="J296" s="16">
        <v>20</v>
      </c>
      <c r="K296" s="24" t="s">
        <v>336</v>
      </c>
      <c r="L296" s="16">
        <v>10</v>
      </c>
      <c r="M296" s="16">
        <v>20</v>
      </c>
    </row>
    <row r="297" spans="1:13">
      <c r="A297" t="s">
        <v>22</v>
      </c>
      <c r="B297" s="12">
        <v>45606</v>
      </c>
      <c r="C297" s="17" t="s">
        <v>324</v>
      </c>
      <c r="D297" t="s">
        <v>23</v>
      </c>
      <c r="E297" s="16">
        <v>5</v>
      </c>
      <c r="F297" t="s">
        <v>27</v>
      </c>
      <c r="G297" t="s">
        <v>23</v>
      </c>
      <c r="H297" s="16" t="s">
        <v>311</v>
      </c>
      <c r="I297" t="s">
        <v>23</v>
      </c>
      <c r="J297" s="16">
        <v>0</v>
      </c>
      <c r="K297" s="24" t="s">
        <v>346</v>
      </c>
      <c r="L297" s="16">
        <v>1</v>
      </c>
      <c r="M297" s="16">
        <v>4</v>
      </c>
    </row>
    <row r="298" spans="1:13">
      <c r="A298" t="s">
        <v>18</v>
      </c>
      <c r="B298" s="12">
        <v>45607</v>
      </c>
      <c r="C298" s="17" t="s">
        <v>324</v>
      </c>
      <c r="D298" t="s">
        <v>19</v>
      </c>
      <c r="E298" s="16">
        <v>15</v>
      </c>
      <c r="F298" t="s">
        <v>20</v>
      </c>
      <c r="G298" t="s">
        <v>19</v>
      </c>
      <c r="H298" s="16">
        <v>30</v>
      </c>
      <c r="I298" t="s">
        <v>19</v>
      </c>
      <c r="J298" s="16">
        <v>20</v>
      </c>
      <c r="K298" s="24" t="s">
        <v>337</v>
      </c>
      <c r="L298" s="16">
        <v>15</v>
      </c>
      <c r="M298" s="16">
        <v>50</v>
      </c>
    </row>
    <row r="299" spans="1:13">
      <c r="A299" t="s">
        <v>26</v>
      </c>
      <c r="B299" s="12">
        <v>45608</v>
      </c>
      <c r="C299" s="17" t="s">
        <v>324</v>
      </c>
      <c r="D299" t="s">
        <v>23</v>
      </c>
      <c r="E299" s="16">
        <v>10</v>
      </c>
      <c r="F299" t="s">
        <v>20</v>
      </c>
      <c r="G299" t="s">
        <v>23</v>
      </c>
      <c r="H299" s="16" t="s">
        <v>311</v>
      </c>
      <c r="I299" t="s">
        <v>19</v>
      </c>
      <c r="J299" s="16">
        <v>20</v>
      </c>
      <c r="K299" s="24" t="s">
        <v>336</v>
      </c>
      <c r="L299" s="16">
        <v>5</v>
      </c>
      <c r="M299" s="16">
        <v>25</v>
      </c>
    </row>
    <row r="300" spans="1:13">
      <c r="A300" t="s">
        <v>22</v>
      </c>
      <c r="B300" s="12">
        <v>45609</v>
      </c>
      <c r="C300" s="17" t="s">
        <v>324</v>
      </c>
      <c r="D300" t="s">
        <v>19</v>
      </c>
      <c r="E300" s="16">
        <v>5</v>
      </c>
      <c r="F300" t="s">
        <v>24</v>
      </c>
      <c r="G300" t="s">
        <v>23</v>
      </c>
      <c r="H300" s="16" t="s">
        <v>311</v>
      </c>
      <c r="I300" t="s">
        <v>23</v>
      </c>
      <c r="J300" s="16">
        <v>0</v>
      </c>
      <c r="K300" s="24" t="s">
        <v>346</v>
      </c>
      <c r="L300" s="16">
        <v>0</v>
      </c>
      <c r="M300" s="16">
        <v>5</v>
      </c>
    </row>
    <row r="301" spans="1:13">
      <c r="A301" t="s">
        <v>18</v>
      </c>
      <c r="B301" s="12">
        <v>45610</v>
      </c>
      <c r="C301" s="17" t="s">
        <v>324</v>
      </c>
      <c r="D301" t="s">
        <v>23</v>
      </c>
      <c r="E301" s="16">
        <v>15</v>
      </c>
      <c r="F301" t="s">
        <v>27</v>
      </c>
      <c r="G301" t="s">
        <v>19</v>
      </c>
      <c r="H301" s="16">
        <v>30</v>
      </c>
      <c r="I301" t="s">
        <v>19</v>
      </c>
      <c r="J301" s="16">
        <v>20</v>
      </c>
      <c r="K301" s="24" t="s">
        <v>337</v>
      </c>
      <c r="L301" s="16">
        <v>20</v>
      </c>
      <c r="M301" s="16">
        <v>45</v>
      </c>
    </row>
    <row r="302" spans="1:13">
      <c r="A302" t="s">
        <v>26</v>
      </c>
      <c r="B302" s="12">
        <v>45611</v>
      </c>
      <c r="C302" s="17" t="s">
        <v>324</v>
      </c>
      <c r="D302" t="s">
        <v>19</v>
      </c>
      <c r="E302" s="16">
        <v>10</v>
      </c>
      <c r="F302" t="s">
        <v>27</v>
      </c>
      <c r="G302" t="s">
        <v>23</v>
      </c>
      <c r="H302" s="16" t="s">
        <v>311</v>
      </c>
      <c r="I302" t="s">
        <v>19</v>
      </c>
      <c r="J302" s="16">
        <v>20</v>
      </c>
      <c r="K302" s="24" t="s">
        <v>336</v>
      </c>
      <c r="L302" s="16">
        <v>12</v>
      </c>
      <c r="M302" s="16">
        <v>18</v>
      </c>
    </row>
    <row r="303" spans="1:13">
      <c r="A303" t="s">
        <v>22</v>
      </c>
      <c r="B303" s="12">
        <v>45612</v>
      </c>
      <c r="C303" s="17" t="s">
        <v>324</v>
      </c>
      <c r="D303" t="s">
        <v>23</v>
      </c>
      <c r="E303" s="16">
        <v>5</v>
      </c>
      <c r="F303" t="s">
        <v>20</v>
      </c>
      <c r="G303" t="s">
        <v>23</v>
      </c>
      <c r="H303" s="16" t="s">
        <v>311</v>
      </c>
      <c r="I303" t="s">
        <v>23</v>
      </c>
      <c r="J303" s="16">
        <v>0</v>
      </c>
      <c r="K303" s="24" t="s">
        <v>346</v>
      </c>
      <c r="L303" s="16">
        <v>2</v>
      </c>
      <c r="M303" s="16">
        <v>3</v>
      </c>
    </row>
    <row r="304" spans="1:13">
      <c r="A304" t="s">
        <v>18</v>
      </c>
      <c r="B304" s="12">
        <v>45613</v>
      </c>
      <c r="C304" s="17" t="s">
        <v>324</v>
      </c>
      <c r="D304" t="s">
        <v>19</v>
      </c>
      <c r="E304" s="16">
        <v>15</v>
      </c>
      <c r="F304" t="s">
        <v>24</v>
      </c>
      <c r="G304" t="s">
        <v>19</v>
      </c>
      <c r="H304" s="16">
        <v>30</v>
      </c>
      <c r="I304" t="s">
        <v>19</v>
      </c>
      <c r="J304" s="16">
        <v>20</v>
      </c>
      <c r="K304" s="24" t="s">
        <v>337</v>
      </c>
      <c r="L304" s="16">
        <v>5</v>
      </c>
      <c r="M304" s="16">
        <v>60</v>
      </c>
    </row>
    <row r="305" spans="1:13">
      <c r="A305" t="s">
        <v>26</v>
      </c>
      <c r="B305" s="12">
        <v>45614</v>
      </c>
      <c r="C305" s="17" t="s">
        <v>324</v>
      </c>
      <c r="D305" t="s">
        <v>23</v>
      </c>
      <c r="E305" s="16">
        <v>10</v>
      </c>
      <c r="F305" t="s">
        <v>20</v>
      </c>
      <c r="G305" t="s">
        <v>23</v>
      </c>
      <c r="H305" s="16" t="s">
        <v>311</v>
      </c>
      <c r="I305" t="s">
        <v>19</v>
      </c>
      <c r="J305" s="16">
        <v>20</v>
      </c>
      <c r="K305" s="24" t="s">
        <v>336</v>
      </c>
      <c r="L305" s="16">
        <v>10</v>
      </c>
      <c r="M305" s="16">
        <v>20</v>
      </c>
    </row>
    <row r="306" spans="1:13">
      <c r="A306" t="s">
        <v>22</v>
      </c>
      <c r="B306" s="12">
        <v>45615</v>
      </c>
      <c r="C306" s="17" t="s">
        <v>324</v>
      </c>
      <c r="D306" t="s">
        <v>19</v>
      </c>
      <c r="E306" s="16">
        <v>5</v>
      </c>
      <c r="F306" t="s">
        <v>27</v>
      </c>
      <c r="G306" t="s">
        <v>23</v>
      </c>
      <c r="H306" s="16" t="s">
        <v>311</v>
      </c>
      <c r="I306" t="s">
        <v>23</v>
      </c>
      <c r="J306" s="16">
        <v>0</v>
      </c>
      <c r="K306" s="24" t="s">
        <v>346</v>
      </c>
      <c r="L306" s="16">
        <v>0</v>
      </c>
      <c r="M306" s="16">
        <v>5</v>
      </c>
    </row>
    <row r="307" spans="1:13">
      <c r="A307" t="s">
        <v>18</v>
      </c>
      <c r="B307" s="12">
        <v>45616</v>
      </c>
      <c r="C307" s="17" t="s">
        <v>324</v>
      </c>
      <c r="D307" t="s">
        <v>23</v>
      </c>
      <c r="E307" s="16">
        <v>15</v>
      </c>
      <c r="F307" t="s">
        <v>20</v>
      </c>
      <c r="G307" t="s">
        <v>19</v>
      </c>
      <c r="H307" s="16">
        <v>30</v>
      </c>
      <c r="I307" t="s">
        <v>19</v>
      </c>
      <c r="J307" s="16">
        <v>20</v>
      </c>
      <c r="K307" s="24" t="s">
        <v>337</v>
      </c>
      <c r="L307" s="16">
        <v>3</v>
      </c>
      <c r="M307" s="16">
        <v>62</v>
      </c>
    </row>
    <row r="308" spans="1:13">
      <c r="A308" t="s">
        <v>26</v>
      </c>
      <c r="B308" s="12">
        <v>45617</v>
      </c>
      <c r="C308" s="17" t="s">
        <v>324</v>
      </c>
      <c r="D308" t="s">
        <v>19</v>
      </c>
      <c r="E308" s="16">
        <v>10</v>
      </c>
      <c r="F308" t="s">
        <v>24</v>
      </c>
      <c r="G308" t="s">
        <v>23</v>
      </c>
      <c r="H308" s="16" t="s">
        <v>311</v>
      </c>
      <c r="I308" t="s">
        <v>19</v>
      </c>
      <c r="J308" s="16">
        <v>20</v>
      </c>
      <c r="K308" s="24" t="s">
        <v>336</v>
      </c>
      <c r="L308" s="16">
        <v>15</v>
      </c>
      <c r="M308" s="16">
        <v>15</v>
      </c>
    </row>
    <row r="309" spans="1:13">
      <c r="A309" t="s">
        <v>22</v>
      </c>
      <c r="B309" s="12">
        <v>45618</v>
      </c>
      <c r="C309" s="17" t="s">
        <v>324</v>
      </c>
      <c r="D309" t="s">
        <v>23</v>
      </c>
      <c r="E309" s="16">
        <v>5</v>
      </c>
      <c r="F309" t="s">
        <v>20</v>
      </c>
      <c r="G309" t="s">
        <v>23</v>
      </c>
      <c r="H309" s="16" t="s">
        <v>311</v>
      </c>
      <c r="I309" t="s">
        <v>23</v>
      </c>
      <c r="J309" s="16">
        <v>0</v>
      </c>
      <c r="K309" s="24" t="s">
        <v>346</v>
      </c>
      <c r="L309" s="16">
        <v>1</v>
      </c>
      <c r="M309" s="16">
        <v>4</v>
      </c>
    </row>
    <row r="310" spans="1:13">
      <c r="A310" t="s">
        <v>18</v>
      </c>
      <c r="B310" s="12">
        <v>45619</v>
      </c>
      <c r="C310" s="17" t="s">
        <v>324</v>
      </c>
      <c r="D310" t="s">
        <v>19</v>
      </c>
      <c r="E310" s="16">
        <v>15</v>
      </c>
      <c r="F310" t="s">
        <v>27</v>
      </c>
      <c r="G310" t="s">
        <v>19</v>
      </c>
      <c r="H310" s="16">
        <v>30</v>
      </c>
      <c r="I310" t="s">
        <v>19</v>
      </c>
      <c r="J310" s="16">
        <v>20</v>
      </c>
      <c r="K310" s="24" t="s">
        <v>337</v>
      </c>
      <c r="L310" s="16">
        <v>7</v>
      </c>
      <c r="M310" s="16">
        <v>58</v>
      </c>
    </row>
    <row r="311" spans="1:13">
      <c r="A311" t="s">
        <v>26</v>
      </c>
      <c r="B311" s="12">
        <v>45620</v>
      </c>
      <c r="C311" s="17" t="s">
        <v>324</v>
      </c>
      <c r="D311" t="s">
        <v>23</v>
      </c>
      <c r="E311" s="16">
        <v>10</v>
      </c>
      <c r="F311" t="s">
        <v>20</v>
      </c>
      <c r="G311" t="s">
        <v>23</v>
      </c>
      <c r="H311" s="16" t="s">
        <v>311</v>
      </c>
      <c r="I311" t="s">
        <v>19</v>
      </c>
      <c r="J311" s="16">
        <v>20</v>
      </c>
      <c r="K311" s="24" t="s">
        <v>336</v>
      </c>
      <c r="L311" s="16">
        <v>10</v>
      </c>
      <c r="M311" s="16">
        <v>20</v>
      </c>
    </row>
    <row r="312" spans="1:13">
      <c r="A312" t="s">
        <v>22</v>
      </c>
      <c r="B312" s="12">
        <v>45621</v>
      </c>
      <c r="C312" s="17" t="s">
        <v>324</v>
      </c>
      <c r="D312" t="s">
        <v>19</v>
      </c>
      <c r="E312" s="16">
        <v>5</v>
      </c>
      <c r="F312" t="s">
        <v>24</v>
      </c>
      <c r="G312" t="s">
        <v>23</v>
      </c>
      <c r="H312" s="16" t="s">
        <v>311</v>
      </c>
      <c r="I312" t="s">
        <v>23</v>
      </c>
      <c r="J312" s="16">
        <v>0</v>
      </c>
      <c r="K312" s="24" t="s">
        <v>346</v>
      </c>
      <c r="L312" s="16">
        <v>0</v>
      </c>
      <c r="M312" s="16">
        <v>5</v>
      </c>
    </row>
    <row r="313" spans="1:13">
      <c r="A313" t="s">
        <v>18</v>
      </c>
      <c r="B313" s="12">
        <v>45622</v>
      </c>
      <c r="C313" s="17" t="s">
        <v>324</v>
      </c>
      <c r="D313" t="s">
        <v>23</v>
      </c>
      <c r="E313" s="16">
        <v>15</v>
      </c>
      <c r="F313" t="s">
        <v>20</v>
      </c>
      <c r="G313" t="s">
        <v>19</v>
      </c>
      <c r="H313" s="16">
        <v>30</v>
      </c>
      <c r="I313" t="s">
        <v>19</v>
      </c>
      <c r="J313" s="16">
        <v>20</v>
      </c>
      <c r="K313" s="24" t="s">
        <v>337</v>
      </c>
      <c r="L313" s="16">
        <v>20</v>
      </c>
      <c r="M313" s="16">
        <v>45</v>
      </c>
    </row>
    <row r="314" spans="1:13">
      <c r="A314" t="s">
        <v>22</v>
      </c>
      <c r="B314" s="12">
        <v>45622</v>
      </c>
      <c r="C314" s="17" t="s">
        <v>324</v>
      </c>
      <c r="D314" t="s">
        <v>23</v>
      </c>
      <c r="E314" s="16">
        <v>5</v>
      </c>
      <c r="F314" t="s">
        <v>20</v>
      </c>
      <c r="G314" t="s">
        <v>19</v>
      </c>
      <c r="H314" s="16">
        <v>30</v>
      </c>
      <c r="I314" t="s">
        <v>23</v>
      </c>
      <c r="J314" s="16">
        <v>0</v>
      </c>
      <c r="K314" s="24" t="s">
        <v>338</v>
      </c>
      <c r="L314" s="16">
        <v>1</v>
      </c>
      <c r="M314" s="16">
        <f>SUM(E314,H314,J314)-tbl_data[[#This Row],[Coupon Value]]</f>
        <v>34</v>
      </c>
    </row>
    <row r="315" spans="1:13">
      <c r="A315" t="s">
        <v>26</v>
      </c>
      <c r="B315" s="12">
        <v>45623</v>
      </c>
      <c r="C315" s="17" t="s">
        <v>324</v>
      </c>
      <c r="D315" t="s">
        <v>19</v>
      </c>
      <c r="E315" s="16">
        <v>10</v>
      </c>
      <c r="F315" t="s">
        <v>27</v>
      </c>
      <c r="G315" t="s">
        <v>23</v>
      </c>
      <c r="H315" s="16" t="s">
        <v>311</v>
      </c>
      <c r="I315" t="s">
        <v>19</v>
      </c>
      <c r="J315" s="16">
        <v>20</v>
      </c>
      <c r="K315" s="24" t="s">
        <v>336</v>
      </c>
      <c r="L315" s="16">
        <v>15</v>
      </c>
      <c r="M315" s="16">
        <v>15</v>
      </c>
    </row>
    <row r="316" spans="1:13">
      <c r="A316" t="s">
        <v>26</v>
      </c>
      <c r="B316" s="12">
        <v>45623</v>
      </c>
      <c r="C316" s="17" t="s">
        <v>324</v>
      </c>
      <c r="D316" t="s">
        <v>23</v>
      </c>
      <c r="E316" s="16">
        <v>10</v>
      </c>
      <c r="F316" t="s">
        <v>20</v>
      </c>
      <c r="G316" t="s">
        <v>19</v>
      </c>
      <c r="H316" s="16">
        <v>30</v>
      </c>
      <c r="I316" t="s">
        <v>23</v>
      </c>
      <c r="J316" s="16">
        <v>0</v>
      </c>
      <c r="K316" s="24" t="s">
        <v>338</v>
      </c>
      <c r="L316" s="16">
        <v>10</v>
      </c>
      <c r="M316" s="16">
        <f>SUM(E316,H316,J316)-tbl_data[[#This Row],[Coupon Value]]</f>
        <v>30</v>
      </c>
    </row>
    <row r="317" spans="1:13">
      <c r="A317" t="s">
        <v>22</v>
      </c>
      <c r="B317" s="12">
        <v>45624</v>
      </c>
      <c r="C317" s="17" t="s">
        <v>324</v>
      </c>
      <c r="D317" t="s">
        <v>23</v>
      </c>
      <c r="E317" s="16">
        <v>5</v>
      </c>
      <c r="F317" t="s">
        <v>20</v>
      </c>
      <c r="G317" t="s">
        <v>23</v>
      </c>
      <c r="H317" s="16" t="s">
        <v>311</v>
      </c>
      <c r="I317" t="s">
        <v>23</v>
      </c>
      <c r="J317" s="16">
        <v>0</v>
      </c>
      <c r="K317" s="24" t="s">
        <v>346</v>
      </c>
      <c r="L317" s="16">
        <v>1</v>
      </c>
      <c r="M317" s="16">
        <v>4</v>
      </c>
    </row>
    <row r="318" spans="1:13">
      <c r="A318" t="s">
        <v>18</v>
      </c>
      <c r="B318" s="12">
        <v>45625</v>
      </c>
      <c r="C318" s="17" t="s">
        <v>324</v>
      </c>
      <c r="D318" t="s">
        <v>19</v>
      </c>
      <c r="E318" s="16">
        <v>15</v>
      </c>
      <c r="F318" t="s">
        <v>24</v>
      </c>
      <c r="G318" t="s">
        <v>19</v>
      </c>
      <c r="H318" s="16">
        <v>30</v>
      </c>
      <c r="I318" t="s">
        <v>19</v>
      </c>
      <c r="J318" s="16">
        <v>20</v>
      </c>
      <c r="K318" s="24" t="s">
        <v>337</v>
      </c>
      <c r="L318" s="16">
        <v>3</v>
      </c>
      <c r="M318" s="16">
        <v>62</v>
      </c>
    </row>
    <row r="319" spans="1:13">
      <c r="A319" t="s">
        <v>26</v>
      </c>
      <c r="B319" s="12">
        <v>45626</v>
      </c>
      <c r="C319" s="17" t="s">
        <v>324</v>
      </c>
      <c r="D319" t="s">
        <v>23</v>
      </c>
      <c r="E319" s="16">
        <v>10</v>
      </c>
      <c r="F319" t="s">
        <v>20</v>
      </c>
      <c r="G319" t="s">
        <v>23</v>
      </c>
      <c r="H319" s="16" t="s">
        <v>311</v>
      </c>
      <c r="I319" t="s">
        <v>19</v>
      </c>
      <c r="J319" s="16">
        <v>20</v>
      </c>
      <c r="K319" s="24" t="s">
        <v>336</v>
      </c>
      <c r="L319" s="16">
        <v>10</v>
      </c>
      <c r="M319" s="16">
        <v>20</v>
      </c>
    </row>
    <row r="320" spans="1:13">
      <c r="A320" t="s">
        <v>22</v>
      </c>
      <c r="B320" s="12">
        <v>45627</v>
      </c>
      <c r="C320" s="17" t="s">
        <v>325</v>
      </c>
      <c r="D320" t="s">
        <v>19</v>
      </c>
      <c r="E320" s="16">
        <v>5</v>
      </c>
      <c r="F320" t="s">
        <v>27</v>
      </c>
      <c r="G320" t="s">
        <v>23</v>
      </c>
      <c r="H320" s="16" t="s">
        <v>311</v>
      </c>
      <c r="I320" t="s">
        <v>23</v>
      </c>
      <c r="J320" s="16">
        <v>0</v>
      </c>
      <c r="K320" s="24" t="s">
        <v>346</v>
      </c>
      <c r="L320" s="16">
        <v>0</v>
      </c>
      <c r="M320" s="16">
        <v>5</v>
      </c>
    </row>
    <row r="321" spans="1:13">
      <c r="A321" t="s">
        <v>18</v>
      </c>
      <c r="B321" s="12">
        <v>45628</v>
      </c>
      <c r="C321" s="17" t="s">
        <v>325</v>
      </c>
      <c r="D321" t="s">
        <v>23</v>
      </c>
      <c r="E321" s="16">
        <v>15</v>
      </c>
      <c r="F321" t="s">
        <v>20</v>
      </c>
      <c r="G321" t="s">
        <v>19</v>
      </c>
      <c r="H321" s="16">
        <v>30</v>
      </c>
      <c r="I321" t="s">
        <v>19</v>
      </c>
      <c r="J321" s="16">
        <v>20</v>
      </c>
      <c r="K321" s="24" t="s">
        <v>337</v>
      </c>
      <c r="L321" s="16">
        <v>15</v>
      </c>
      <c r="M321" s="16">
        <v>50</v>
      </c>
    </row>
    <row r="322" spans="1:13">
      <c r="A322" t="s">
        <v>26</v>
      </c>
      <c r="B322" s="12">
        <v>45629</v>
      </c>
      <c r="C322" s="17" t="s">
        <v>325</v>
      </c>
      <c r="D322" t="s">
        <v>19</v>
      </c>
      <c r="E322" s="16">
        <v>10</v>
      </c>
      <c r="F322" t="s">
        <v>24</v>
      </c>
      <c r="G322" t="s">
        <v>23</v>
      </c>
      <c r="H322" s="16" t="s">
        <v>311</v>
      </c>
      <c r="I322" t="s">
        <v>19</v>
      </c>
      <c r="J322" s="16">
        <v>20</v>
      </c>
      <c r="K322" s="24" t="s">
        <v>336</v>
      </c>
      <c r="L322" s="16">
        <v>15</v>
      </c>
      <c r="M322" s="16">
        <v>15</v>
      </c>
    </row>
    <row r="323" spans="1:13">
      <c r="A323" t="s">
        <v>22</v>
      </c>
      <c r="B323" s="12">
        <v>45630</v>
      </c>
      <c r="C323" s="17" t="s">
        <v>325</v>
      </c>
      <c r="D323" t="s">
        <v>23</v>
      </c>
      <c r="E323" s="16">
        <v>5</v>
      </c>
      <c r="F323" t="s">
        <v>20</v>
      </c>
      <c r="G323" t="s">
        <v>23</v>
      </c>
      <c r="H323" s="16" t="s">
        <v>311</v>
      </c>
      <c r="I323" t="s">
        <v>23</v>
      </c>
      <c r="J323" s="16">
        <v>0</v>
      </c>
      <c r="K323" s="24" t="s">
        <v>346</v>
      </c>
      <c r="L323" s="16">
        <v>1</v>
      </c>
      <c r="M323" s="16">
        <v>4</v>
      </c>
    </row>
    <row r="324" spans="1:13">
      <c r="A324" t="s">
        <v>18</v>
      </c>
      <c r="B324" s="12">
        <v>45631</v>
      </c>
      <c r="C324" s="17" t="s">
        <v>325</v>
      </c>
      <c r="D324" t="s">
        <v>19</v>
      </c>
      <c r="E324" s="16">
        <v>15</v>
      </c>
      <c r="F324" t="s">
        <v>27</v>
      </c>
      <c r="G324" t="s">
        <v>19</v>
      </c>
      <c r="H324" s="16">
        <v>30</v>
      </c>
      <c r="I324" t="s">
        <v>19</v>
      </c>
      <c r="J324" s="16">
        <v>20</v>
      </c>
      <c r="K324" s="24" t="s">
        <v>337</v>
      </c>
      <c r="L324" s="16">
        <v>7</v>
      </c>
      <c r="M324" s="16">
        <v>58</v>
      </c>
    </row>
    <row r="325" spans="1:13">
      <c r="A325" t="s">
        <v>26</v>
      </c>
      <c r="B325" s="12">
        <v>45632</v>
      </c>
      <c r="C325" s="17" t="s">
        <v>325</v>
      </c>
      <c r="D325" t="s">
        <v>23</v>
      </c>
      <c r="E325" s="16">
        <v>10</v>
      </c>
      <c r="F325" t="s">
        <v>20</v>
      </c>
      <c r="G325" t="s">
        <v>23</v>
      </c>
      <c r="H325" s="16" t="s">
        <v>311</v>
      </c>
      <c r="I325" t="s">
        <v>19</v>
      </c>
      <c r="J325" s="16">
        <v>20</v>
      </c>
      <c r="K325" s="24" t="s">
        <v>336</v>
      </c>
      <c r="L325" s="16">
        <v>10</v>
      </c>
      <c r="M325" s="16">
        <v>20</v>
      </c>
    </row>
    <row r="326" spans="1:13">
      <c r="A326" t="s">
        <v>22</v>
      </c>
      <c r="B326" s="12">
        <v>45633</v>
      </c>
      <c r="C326" s="17" t="s">
        <v>325</v>
      </c>
      <c r="D326" t="s">
        <v>19</v>
      </c>
      <c r="E326" s="16">
        <v>5</v>
      </c>
      <c r="F326" t="s">
        <v>24</v>
      </c>
      <c r="G326" t="s">
        <v>23</v>
      </c>
      <c r="H326" s="16" t="s">
        <v>311</v>
      </c>
      <c r="I326" t="s">
        <v>23</v>
      </c>
      <c r="J326" s="16">
        <v>0</v>
      </c>
      <c r="K326" s="24" t="s">
        <v>346</v>
      </c>
      <c r="L326" s="16">
        <v>0</v>
      </c>
      <c r="M326" s="16">
        <v>5</v>
      </c>
    </row>
    <row r="327" spans="1:13">
      <c r="A327" t="s">
        <v>26</v>
      </c>
      <c r="B327" s="12">
        <v>45633</v>
      </c>
      <c r="C327" s="17" t="s">
        <v>325</v>
      </c>
      <c r="D327" t="s">
        <v>19</v>
      </c>
      <c r="E327" s="16">
        <v>10</v>
      </c>
      <c r="F327" t="s">
        <v>27</v>
      </c>
      <c r="G327" t="s">
        <v>19</v>
      </c>
      <c r="H327" s="16">
        <v>30</v>
      </c>
      <c r="I327" t="s">
        <v>23</v>
      </c>
      <c r="J327" s="16">
        <v>0</v>
      </c>
      <c r="K327" s="24" t="s">
        <v>338</v>
      </c>
      <c r="L327" s="16">
        <v>15</v>
      </c>
      <c r="M327" s="16">
        <f>SUM(E327,H327,J327)-tbl_data[[#This Row],[Coupon Value]]</f>
        <v>25</v>
      </c>
    </row>
    <row r="328" spans="1:13">
      <c r="A328" t="s">
        <v>18</v>
      </c>
      <c r="B328" s="12">
        <v>45634</v>
      </c>
      <c r="C328" s="17" t="s">
        <v>325</v>
      </c>
      <c r="D328" t="s">
        <v>23</v>
      </c>
      <c r="E328" s="16">
        <v>15</v>
      </c>
      <c r="F328" t="s">
        <v>20</v>
      </c>
      <c r="G328" t="s">
        <v>19</v>
      </c>
      <c r="H328" s="16">
        <v>30</v>
      </c>
      <c r="I328" t="s">
        <v>19</v>
      </c>
      <c r="J328" s="16">
        <v>20</v>
      </c>
      <c r="K328" s="24" t="s">
        <v>337</v>
      </c>
      <c r="L328" s="16">
        <v>20</v>
      </c>
      <c r="M328" s="16">
        <v>45</v>
      </c>
    </row>
    <row r="329" spans="1:13">
      <c r="A329" t="s">
        <v>26</v>
      </c>
      <c r="B329" s="12">
        <v>45635</v>
      </c>
      <c r="C329" s="17" t="s">
        <v>325</v>
      </c>
      <c r="D329" t="s">
        <v>19</v>
      </c>
      <c r="E329" s="16">
        <v>10</v>
      </c>
      <c r="F329" t="s">
        <v>27</v>
      </c>
      <c r="G329" t="s">
        <v>23</v>
      </c>
      <c r="H329" s="16" t="s">
        <v>311</v>
      </c>
      <c r="I329" t="s">
        <v>19</v>
      </c>
      <c r="J329" s="16">
        <v>20</v>
      </c>
      <c r="K329" s="24" t="s">
        <v>336</v>
      </c>
      <c r="L329" s="16">
        <v>12</v>
      </c>
      <c r="M329" s="16">
        <v>18</v>
      </c>
    </row>
    <row r="330" spans="1:13">
      <c r="A330" t="s">
        <v>22</v>
      </c>
      <c r="B330" s="12">
        <v>45636</v>
      </c>
      <c r="C330" s="17" t="s">
        <v>325</v>
      </c>
      <c r="D330" t="s">
        <v>23</v>
      </c>
      <c r="E330" s="16">
        <v>5</v>
      </c>
      <c r="F330" t="s">
        <v>20</v>
      </c>
      <c r="G330" t="s">
        <v>23</v>
      </c>
      <c r="H330" s="16" t="s">
        <v>311</v>
      </c>
      <c r="I330" t="s">
        <v>23</v>
      </c>
      <c r="J330" s="16">
        <v>0</v>
      </c>
      <c r="K330" s="24" t="s">
        <v>346</v>
      </c>
      <c r="L330" s="16">
        <v>2</v>
      </c>
      <c r="M330" s="16">
        <v>3</v>
      </c>
    </row>
    <row r="331" spans="1:13">
      <c r="A331" t="s">
        <v>18</v>
      </c>
      <c r="B331" s="12">
        <v>45637</v>
      </c>
      <c r="C331" s="17" t="s">
        <v>325</v>
      </c>
      <c r="D331" t="s">
        <v>19</v>
      </c>
      <c r="E331" s="16">
        <v>15</v>
      </c>
      <c r="F331" t="s">
        <v>24</v>
      </c>
      <c r="G331" t="s">
        <v>19</v>
      </c>
      <c r="H331" s="16">
        <v>30</v>
      </c>
      <c r="I331" t="s">
        <v>19</v>
      </c>
      <c r="J331" s="16">
        <v>20</v>
      </c>
      <c r="K331" s="24" t="s">
        <v>337</v>
      </c>
      <c r="L331" s="16">
        <v>5</v>
      </c>
      <c r="M331" s="16">
        <v>60</v>
      </c>
    </row>
    <row r="332" spans="1:13">
      <c r="A332" t="s">
        <v>26</v>
      </c>
      <c r="B332" s="12">
        <v>45638</v>
      </c>
      <c r="C332" s="17" t="s">
        <v>325</v>
      </c>
      <c r="D332" t="s">
        <v>23</v>
      </c>
      <c r="E332" s="16">
        <v>10</v>
      </c>
      <c r="F332" t="s">
        <v>20</v>
      </c>
      <c r="G332" t="s">
        <v>23</v>
      </c>
      <c r="H332" s="16" t="s">
        <v>311</v>
      </c>
      <c r="I332" t="s">
        <v>19</v>
      </c>
      <c r="J332" s="16">
        <v>20</v>
      </c>
      <c r="K332" s="24" t="s">
        <v>336</v>
      </c>
      <c r="L332" s="16">
        <v>10</v>
      </c>
      <c r="M332" s="16">
        <v>20</v>
      </c>
    </row>
    <row r="333" spans="1:13">
      <c r="A333" t="s">
        <v>22</v>
      </c>
      <c r="B333" s="12">
        <v>45639</v>
      </c>
      <c r="C333" s="17" t="s">
        <v>325</v>
      </c>
      <c r="D333" t="s">
        <v>19</v>
      </c>
      <c r="E333" s="16">
        <v>5</v>
      </c>
      <c r="F333" t="s">
        <v>27</v>
      </c>
      <c r="G333" t="s">
        <v>23</v>
      </c>
      <c r="H333" s="16" t="s">
        <v>311</v>
      </c>
      <c r="I333" t="s">
        <v>23</v>
      </c>
      <c r="J333" s="16">
        <v>0</v>
      </c>
      <c r="K333" s="24" t="s">
        <v>346</v>
      </c>
      <c r="L333" s="16">
        <v>0</v>
      </c>
      <c r="M333" s="16">
        <v>5</v>
      </c>
    </row>
    <row r="334" spans="1:13">
      <c r="A334" t="s">
        <v>18</v>
      </c>
      <c r="B334" s="12">
        <v>45640</v>
      </c>
      <c r="C334" s="17" t="s">
        <v>325</v>
      </c>
      <c r="D334" t="s">
        <v>23</v>
      </c>
      <c r="E334" s="16">
        <v>15</v>
      </c>
      <c r="F334" t="s">
        <v>20</v>
      </c>
      <c r="G334" t="s">
        <v>19</v>
      </c>
      <c r="H334" s="16">
        <v>30</v>
      </c>
      <c r="I334" t="s">
        <v>19</v>
      </c>
      <c r="J334" s="16">
        <v>20</v>
      </c>
      <c r="K334" s="24" t="s">
        <v>337</v>
      </c>
      <c r="L334" s="16">
        <v>3</v>
      </c>
      <c r="M334" s="16">
        <v>62</v>
      </c>
    </row>
    <row r="335" spans="1:13">
      <c r="A335" t="s">
        <v>26</v>
      </c>
      <c r="B335" s="12">
        <v>45641</v>
      </c>
      <c r="C335" s="17" t="s">
        <v>325</v>
      </c>
      <c r="D335" t="s">
        <v>19</v>
      </c>
      <c r="E335" s="16">
        <v>10</v>
      </c>
      <c r="F335" t="s">
        <v>24</v>
      </c>
      <c r="G335" t="s">
        <v>23</v>
      </c>
      <c r="H335" s="16" t="s">
        <v>311</v>
      </c>
      <c r="I335" t="s">
        <v>19</v>
      </c>
      <c r="J335" s="16">
        <v>20</v>
      </c>
      <c r="K335" s="24" t="s">
        <v>336</v>
      </c>
      <c r="L335" s="16">
        <v>15</v>
      </c>
      <c r="M335" s="16">
        <v>15</v>
      </c>
    </row>
    <row r="336" spans="1:13">
      <c r="A336" t="s">
        <v>22</v>
      </c>
      <c r="B336" s="12">
        <v>45642</v>
      </c>
      <c r="C336" s="17" t="s">
        <v>325</v>
      </c>
      <c r="D336" t="s">
        <v>23</v>
      </c>
      <c r="E336" s="16">
        <v>5</v>
      </c>
      <c r="F336" t="s">
        <v>20</v>
      </c>
      <c r="G336" t="s">
        <v>23</v>
      </c>
      <c r="H336" s="16" t="s">
        <v>311</v>
      </c>
      <c r="I336" t="s">
        <v>23</v>
      </c>
      <c r="J336" s="16">
        <v>0</v>
      </c>
      <c r="K336" s="24" t="s">
        <v>346</v>
      </c>
      <c r="L336" s="16">
        <v>1</v>
      </c>
      <c r="M336" s="16">
        <v>4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3:AO102"/>
  <sheetViews>
    <sheetView showGridLines="0" topLeftCell="C33" zoomScaleNormal="100" workbookViewId="0">
      <selection activeCell="F53" sqref="F53"/>
    </sheetView>
  </sheetViews>
  <sheetFormatPr defaultRowHeight="14.25"/>
  <cols>
    <col min="1" max="2" width="9" style="18"/>
    <col min="3" max="3" width="18" style="18" customWidth="1"/>
    <col min="4" max="4" width="25.875" style="18" customWidth="1"/>
    <col min="5" max="5" width="18" style="18" customWidth="1"/>
    <col min="6" max="6" width="19.625" style="18" customWidth="1"/>
    <col min="7" max="7" width="7.625" style="58" customWidth="1"/>
    <col min="8" max="8" width="26.875" style="18" customWidth="1"/>
    <col min="9" max="9" width="12" style="18" customWidth="1"/>
    <col min="10" max="10" width="32.125" style="18" customWidth="1"/>
    <col min="11" max="11" width="3.125" style="18" customWidth="1"/>
    <col min="12" max="12" width="18" style="18" customWidth="1"/>
    <col min="13" max="13" width="34.125" style="18" customWidth="1"/>
    <col min="14" max="14" width="18.625" style="18" customWidth="1"/>
    <col min="15" max="15" width="5.75" style="18" customWidth="1"/>
    <col min="16" max="16" width="9.5" style="18" customWidth="1"/>
    <col min="17" max="17" width="18" style="18" customWidth="1"/>
    <col min="18" max="18" width="19.125" style="18" customWidth="1"/>
    <col min="19" max="19" width="28.625" style="18" customWidth="1"/>
    <col min="20" max="20" width="12.5" style="18" customWidth="1"/>
    <col min="21" max="21" width="8.5" style="18" customWidth="1"/>
    <col min="22" max="27" width="9.5" style="18" bestFit="1" customWidth="1"/>
    <col min="28" max="28" width="9.5" style="18" customWidth="1"/>
    <col min="29" max="34" width="9.5" style="18" bestFit="1" customWidth="1"/>
    <col min="35" max="35" width="9.5" style="18" customWidth="1"/>
    <col min="36" max="40" width="9.5" style="18" bestFit="1" customWidth="1"/>
    <col min="41" max="41" width="12" style="18" bestFit="1" customWidth="1"/>
    <col min="42" max="16384" width="9" style="18"/>
  </cols>
  <sheetData>
    <row r="3" spans="1:19">
      <c r="S3"/>
    </row>
    <row r="5" spans="1:19">
      <c r="A5" s="18" t="s">
        <v>327</v>
      </c>
    </row>
    <row r="6" spans="1:19">
      <c r="A6" s="18" t="s">
        <v>328</v>
      </c>
    </row>
    <row r="8" spans="1:19">
      <c r="A8" s="18" t="s">
        <v>329</v>
      </c>
    </row>
    <row r="9" spans="1:19">
      <c r="A9" s="18" t="s">
        <v>330</v>
      </c>
    </row>
    <row r="11" spans="1:19">
      <c r="A11" s="18" t="s">
        <v>331</v>
      </c>
    </row>
    <row r="12" spans="1:19">
      <c r="A12" s="18" t="s">
        <v>332</v>
      </c>
      <c r="P12"/>
    </row>
    <row r="13" spans="1:19">
      <c r="P13"/>
    </row>
    <row r="14" spans="1:19">
      <c r="P14"/>
    </row>
    <row r="17" spans="3:28">
      <c r="C17" s="25" t="s">
        <v>363</v>
      </c>
      <c r="D17" s="25"/>
      <c r="H17" s="25" t="s">
        <v>348</v>
      </c>
      <c r="I17" s="25"/>
      <c r="J17"/>
      <c r="L17" s="25" t="s">
        <v>353</v>
      </c>
      <c r="M17" s="25"/>
      <c r="N17"/>
      <c r="U17"/>
      <c r="V17"/>
      <c r="W17"/>
    </row>
    <row r="18" spans="3:28">
      <c r="C18" s="25"/>
      <c r="D18" s="25"/>
      <c r="H18" s="25"/>
      <c r="I18" s="25"/>
      <c r="J18"/>
      <c r="L18" s="25"/>
      <c r="M18" s="25"/>
      <c r="N18"/>
      <c r="U18"/>
      <c r="V18"/>
      <c r="W18"/>
    </row>
    <row r="19" spans="3:28">
      <c r="C19" s="21" t="s">
        <v>326</v>
      </c>
      <c r="D19" t="s">
        <v>340</v>
      </c>
      <c r="H19" s="21" t="s">
        <v>326</v>
      </c>
      <c r="I19" t="s">
        <v>340</v>
      </c>
      <c r="J19"/>
      <c r="L19" s="21" t="s">
        <v>326</v>
      </c>
      <c r="M19" t="s">
        <v>340</v>
      </c>
      <c r="N19"/>
      <c r="U19"/>
      <c r="V19"/>
      <c r="W19"/>
    </row>
    <row r="20" spans="3:28">
      <c r="C20" s="21" t="s">
        <v>16</v>
      </c>
      <c r="D20" t="s">
        <v>340</v>
      </c>
      <c r="H20" s="21" t="s">
        <v>16</v>
      </c>
      <c r="I20" t="s">
        <v>340</v>
      </c>
      <c r="J20"/>
      <c r="L20" s="21" t="s">
        <v>16</v>
      </c>
      <c r="M20" t="s">
        <v>340</v>
      </c>
      <c r="N20"/>
      <c r="Q20" s="25" t="s">
        <v>373</v>
      </c>
      <c r="R20" s="25"/>
      <c r="U20"/>
      <c r="V20"/>
      <c r="W20"/>
    </row>
    <row r="21" spans="3:28">
      <c r="H21"/>
      <c r="I21"/>
      <c r="J21"/>
      <c r="L21"/>
      <c r="M21"/>
      <c r="N21"/>
      <c r="Q21" s="37" t="s">
        <v>371</v>
      </c>
      <c r="R21" s="36">
        <f>N24</f>
        <v>138</v>
      </c>
      <c r="U21"/>
      <c r="V21"/>
      <c r="W21"/>
    </row>
    <row r="22" spans="3:28">
      <c r="C22" s="21" t="s">
        <v>339</v>
      </c>
      <c r="D22"/>
      <c r="H22" s="21" t="s">
        <v>339</v>
      </c>
      <c r="I22"/>
      <c r="J22"/>
      <c r="L22" s="21" t="s">
        <v>334</v>
      </c>
      <c r="M22" s="26" t="s">
        <v>350</v>
      </c>
      <c r="N22"/>
      <c r="Q22" s="38" t="s">
        <v>372</v>
      </c>
      <c r="R22" s="40">
        <f>N31</f>
        <v>194</v>
      </c>
      <c r="U22"/>
      <c r="V22"/>
      <c r="W22"/>
    </row>
    <row r="23" spans="3:28">
      <c r="C23" s="22" t="s">
        <v>356</v>
      </c>
      <c r="D23" s="20">
        <v>335</v>
      </c>
      <c r="E23" s="32">
        <f>GETPIVOTDATA("Contagem de Subscription Type",$C$22)</f>
        <v>335</v>
      </c>
      <c r="F23"/>
      <c r="H23" s="22" t="s">
        <v>341</v>
      </c>
      <c r="I23" s="20">
        <v>335</v>
      </c>
      <c r="J23"/>
      <c r="L23" s="22" t="s">
        <v>19</v>
      </c>
      <c r="M23" s="20">
        <v>138</v>
      </c>
      <c r="N23"/>
      <c r="U23"/>
      <c r="V23"/>
      <c r="W23"/>
    </row>
    <row r="24" spans="3:28">
      <c r="C24" s="22" t="s">
        <v>362</v>
      </c>
      <c r="D24" s="23">
        <v>3330</v>
      </c>
      <c r="E24" s="31">
        <f>GETPIVOTDATA("Soma de Subscription Price2",$C$22)</f>
        <v>3330</v>
      </c>
      <c r="F24"/>
      <c r="H24" s="22" t="s">
        <v>342</v>
      </c>
      <c r="I24" s="23">
        <v>26.686567164179106</v>
      </c>
      <c r="J24" s="31">
        <f>GETPIVOTDATA("Ticket Médio",$H$22)</f>
        <v>26.686567164179106</v>
      </c>
      <c r="L24" s="22" t="s">
        <v>335</v>
      </c>
      <c r="M24" s="20">
        <v>138</v>
      </c>
      <c r="N24" s="32">
        <f>GETPIVOTDATA("EA Play Season Pass",$L$22)</f>
        <v>138</v>
      </c>
      <c r="O24"/>
      <c r="U24"/>
      <c r="V24"/>
      <c r="W24"/>
    </row>
    <row r="25" spans="3:28">
      <c r="C25"/>
      <c r="D25"/>
      <c r="E25"/>
      <c r="F25"/>
      <c r="H25" s="22" t="s">
        <v>343</v>
      </c>
      <c r="I25" s="23">
        <v>8940</v>
      </c>
      <c r="J25" s="31">
        <f>GETPIVOTDATA("Valor Total",$H$22)</f>
        <v>8940</v>
      </c>
      <c r="O25"/>
      <c r="U25"/>
      <c r="V25"/>
      <c r="W25"/>
    </row>
    <row r="26" spans="3:28">
      <c r="H26" s="60"/>
      <c r="I26" s="55"/>
      <c r="J26" s="61"/>
      <c r="L26" s="21" t="s">
        <v>326</v>
      </c>
      <c r="M26" t="s">
        <v>340</v>
      </c>
      <c r="N26"/>
    </row>
    <row r="27" spans="3:28">
      <c r="H27" s="60"/>
      <c r="I27" s="55"/>
      <c r="J27" s="61"/>
      <c r="L27" s="21" t="s">
        <v>16</v>
      </c>
      <c r="M27" t="s">
        <v>340</v>
      </c>
      <c r="N27"/>
    </row>
    <row r="28" spans="3:28">
      <c r="C28"/>
      <c r="D28"/>
      <c r="E28"/>
      <c r="F28"/>
      <c r="L28"/>
      <c r="M28"/>
      <c r="O28"/>
      <c r="U28"/>
      <c r="V28"/>
      <c r="W28"/>
      <c r="X28"/>
      <c r="Y28"/>
      <c r="Z28"/>
      <c r="AA28"/>
      <c r="AB28"/>
    </row>
    <row r="29" spans="3:28">
      <c r="C29"/>
      <c r="D29"/>
      <c r="E29"/>
      <c r="F29"/>
      <c r="L29" s="21" t="s">
        <v>334</v>
      </c>
      <c r="M29" s="26" t="s">
        <v>351</v>
      </c>
      <c r="N29"/>
      <c r="O29"/>
      <c r="U29"/>
      <c r="V29"/>
      <c r="W29"/>
      <c r="X29"/>
      <c r="Y29"/>
      <c r="Z29"/>
      <c r="AA29"/>
      <c r="AB29"/>
    </row>
    <row r="30" spans="3:28" ht="15" customHeight="1">
      <c r="C30" s="25" t="s">
        <v>361</v>
      </c>
      <c r="D30" s="25"/>
      <c r="E30"/>
      <c r="F30"/>
      <c r="H30" s="25" t="s">
        <v>359</v>
      </c>
      <c r="I30" s="25"/>
      <c r="L30" s="22" t="s">
        <v>19</v>
      </c>
      <c r="M30" s="20">
        <v>194</v>
      </c>
      <c r="N30"/>
      <c r="O30"/>
      <c r="U30"/>
      <c r="V30"/>
      <c r="W30"/>
      <c r="X30"/>
      <c r="Y30"/>
      <c r="Z30"/>
      <c r="AA30"/>
      <c r="AB30"/>
    </row>
    <row r="31" spans="3:28" ht="15" customHeight="1">
      <c r="C31" s="25"/>
      <c r="D31" s="25"/>
      <c r="E31"/>
      <c r="F31"/>
      <c r="H31" s="25"/>
      <c r="I31" s="25"/>
      <c r="L31" s="22" t="s">
        <v>335</v>
      </c>
      <c r="M31" s="20">
        <v>194</v>
      </c>
      <c r="N31" s="32">
        <f>GETPIVOTDATA("Minecraft Season Pass",$L$29)</f>
        <v>194</v>
      </c>
      <c r="O31"/>
      <c r="U31"/>
      <c r="V31"/>
      <c r="W31"/>
      <c r="X31"/>
      <c r="Y31"/>
      <c r="Z31"/>
      <c r="AA31"/>
      <c r="AB31"/>
    </row>
    <row r="32" spans="3:28" ht="15" customHeight="1">
      <c r="C32" s="21" t="s">
        <v>326</v>
      </c>
      <c r="D32" t="s">
        <v>340</v>
      </c>
      <c r="E32"/>
      <c r="F32"/>
      <c r="H32" s="25"/>
      <c r="I32" s="25"/>
      <c r="O32"/>
      <c r="U32"/>
      <c r="V32"/>
      <c r="W32"/>
      <c r="X32"/>
      <c r="Y32"/>
      <c r="Z32"/>
      <c r="AA32"/>
      <c r="AB32"/>
    </row>
    <row r="33" spans="3:28">
      <c r="C33" s="21" t="s">
        <v>16</v>
      </c>
      <c r="D33" t="s">
        <v>340</v>
      </c>
      <c r="E33"/>
      <c r="F33"/>
      <c r="H33" s="21" t="s">
        <v>16</v>
      </c>
      <c r="I33" t="s">
        <v>340</v>
      </c>
      <c r="O33"/>
      <c r="U33"/>
      <c r="V33"/>
      <c r="W33"/>
      <c r="X33"/>
      <c r="Y33"/>
      <c r="Z33"/>
      <c r="AA33"/>
      <c r="AB33"/>
    </row>
    <row r="34" spans="3:28">
      <c r="E34"/>
      <c r="F34"/>
      <c r="J34"/>
      <c r="L34" s="25" t="s">
        <v>352</v>
      </c>
      <c r="M34" s="25"/>
      <c r="N34"/>
      <c r="O34"/>
      <c r="U34"/>
      <c r="V34"/>
      <c r="W34"/>
      <c r="X34"/>
      <c r="Y34"/>
      <c r="Z34"/>
      <c r="AA34"/>
      <c r="AB34"/>
    </row>
    <row r="35" spans="3:28">
      <c r="C35" t="s">
        <v>360</v>
      </c>
      <c r="D35"/>
      <c r="E35"/>
      <c r="F35"/>
      <c r="H35" s="21" t="s">
        <v>334</v>
      </c>
      <c r="I35" t="s">
        <v>333</v>
      </c>
      <c r="J35"/>
      <c r="L35" s="25"/>
      <c r="M35" s="25"/>
      <c r="O35"/>
      <c r="U35"/>
      <c r="V35"/>
      <c r="W35"/>
      <c r="X35"/>
      <c r="Y35"/>
      <c r="Z35"/>
      <c r="AA35"/>
      <c r="AB35"/>
    </row>
    <row r="36" spans="3:28">
      <c r="C36" s="20">
        <v>2410</v>
      </c>
      <c r="D36" s="62">
        <f>GETPIVOTDATA("Coupon Value",$C$35)</f>
        <v>2410</v>
      </c>
      <c r="E36"/>
      <c r="F36"/>
      <c r="H36" s="22" t="s">
        <v>314</v>
      </c>
      <c r="I36" s="23">
        <v>124</v>
      </c>
      <c r="J36"/>
      <c r="L36" s="21" t="s">
        <v>326</v>
      </c>
      <c r="M36" t="s">
        <v>340</v>
      </c>
      <c r="O36"/>
      <c r="U36"/>
      <c r="V36"/>
      <c r="W36"/>
    </row>
    <row r="37" spans="3:28">
      <c r="C37"/>
      <c r="D37"/>
      <c r="E37"/>
      <c r="F37"/>
      <c r="H37" s="22" t="s">
        <v>315</v>
      </c>
      <c r="I37" s="23">
        <v>107</v>
      </c>
      <c r="J37"/>
      <c r="L37" s="21" t="s">
        <v>16</v>
      </c>
      <c r="M37" t="s">
        <v>340</v>
      </c>
      <c r="N37"/>
      <c r="O37"/>
      <c r="U37"/>
      <c r="V37"/>
      <c r="W37"/>
    </row>
    <row r="38" spans="3:28">
      <c r="E38"/>
      <c r="F38"/>
      <c r="H38" s="22" t="s">
        <v>316</v>
      </c>
      <c r="I38" s="23">
        <v>914</v>
      </c>
      <c r="J38"/>
      <c r="L38"/>
      <c r="M38"/>
      <c r="O38"/>
      <c r="U38"/>
      <c r="V38"/>
    </row>
    <row r="39" spans="3:28">
      <c r="E39"/>
      <c r="F39"/>
      <c r="H39" s="22" t="s">
        <v>317</v>
      </c>
      <c r="I39" s="23">
        <v>859</v>
      </c>
      <c r="J39"/>
      <c r="L39" s="21" t="s">
        <v>334</v>
      </c>
      <c r="M39" s="26" t="s">
        <v>354</v>
      </c>
      <c r="N39"/>
      <c r="O39"/>
      <c r="U39"/>
      <c r="V39"/>
    </row>
    <row r="40" spans="3:28">
      <c r="C40" s="25" t="s">
        <v>364</v>
      </c>
      <c r="D40" s="25"/>
      <c r="E40"/>
      <c r="F40"/>
      <c r="H40" s="22" t="s">
        <v>318</v>
      </c>
      <c r="I40" s="23">
        <v>932</v>
      </c>
      <c r="J40"/>
      <c r="L40" s="22" t="s">
        <v>19</v>
      </c>
      <c r="M40" s="23">
        <v>4140</v>
      </c>
      <c r="N40"/>
      <c r="O40"/>
      <c r="U40"/>
      <c r="V40"/>
    </row>
    <row r="41" spans="3:28">
      <c r="C41" s="56" t="s">
        <v>16</v>
      </c>
      <c r="D41" s="18" t="str">
        <f>D20</f>
        <v>(Tudo)</v>
      </c>
      <c r="E41"/>
      <c r="F41"/>
      <c r="H41" s="22" t="s">
        <v>319</v>
      </c>
      <c r="I41" s="23">
        <v>972</v>
      </c>
      <c r="J41"/>
      <c r="L41" s="22" t="s">
        <v>335</v>
      </c>
      <c r="M41" s="23">
        <v>4140</v>
      </c>
      <c r="N41" s="31">
        <f>GETPIVOTDATA("EA Play Season Pass_Price",$L$39)</f>
        <v>4140</v>
      </c>
      <c r="O41"/>
      <c r="U41"/>
      <c r="V41"/>
    </row>
    <row r="42" spans="3:28">
      <c r="E42"/>
      <c r="F42"/>
      <c r="H42" s="22" t="s">
        <v>320</v>
      </c>
      <c r="I42" s="23">
        <v>891</v>
      </c>
      <c r="J42"/>
      <c r="N42"/>
      <c r="O42"/>
      <c r="U42"/>
      <c r="V42"/>
    </row>
    <row r="43" spans="3:28">
      <c r="C43" s="18" t="s">
        <v>365</v>
      </c>
      <c r="D43" s="31">
        <f>SUM(N62,N49,N41)</f>
        <v>11350</v>
      </c>
      <c r="E43"/>
      <c r="F43"/>
      <c r="H43" s="22" t="s">
        <v>321</v>
      </c>
      <c r="I43" s="23">
        <v>878</v>
      </c>
      <c r="J43"/>
      <c r="O43"/>
      <c r="U43"/>
      <c r="V43"/>
    </row>
    <row r="44" spans="3:28">
      <c r="C44" s="18" t="s">
        <v>366</v>
      </c>
      <c r="D44" s="55">
        <f>D43-D36</f>
        <v>8940</v>
      </c>
      <c r="E44"/>
      <c r="F44"/>
      <c r="H44" s="22" t="s">
        <v>322</v>
      </c>
      <c r="I44" s="23">
        <v>977</v>
      </c>
      <c r="J44"/>
      <c r="L44" s="21" t="s">
        <v>326</v>
      </c>
      <c r="M44" t="s">
        <v>340</v>
      </c>
      <c r="O44"/>
      <c r="U44"/>
      <c r="V44"/>
    </row>
    <row r="45" spans="3:28">
      <c r="E45"/>
      <c r="F45"/>
      <c r="H45" s="22" t="s">
        <v>323</v>
      </c>
      <c r="I45" s="23">
        <v>965</v>
      </c>
      <c r="J45"/>
      <c r="L45" s="21" t="s">
        <v>16</v>
      </c>
      <c r="M45" t="s">
        <v>340</v>
      </c>
      <c r="N45"/>
      <c r="O45"/>
      <c r="U45"/>
      <c r="V45"/>
    </row>
    <row r="46" spans="3:28">
      <c r="C46" s="25" t="s">
        <v>369</v>
      </c>
      <c r="D46" s="25"/>
      <c r="H46" s="22" t="s">
        <v>324</v>
      </c>
      <c r="I46" s="23">
        <v>907</v>
      </c>
      <c r="J46"/>
      <c r="L46"/>
      <c r="M46"/>
      <c r="O46"/>
      <c r="U46"/>
      <c r="V46"/>
    </row>
    <row r="47" spans="3:28">
      <c r="C47" s="21" t="s">
        <v>326</v>
      </c>
      <c r="D47" t="s">
        <v>340</v>
      </c>
      <c r="E47"/>
      <c r="F47"/>
      <c r="H47" s="22" t="s">
        <v>325</v>
      </c>
      <c r="I47" s="23">
        <v>414</v>
      </c>
      <c r="J47"/>
      <c r="L47" s="21" t="s">
        <v>334</v>
      </c>
      <c r="M47" s="26" t="s">
        <v>355</v>
      </c>
      <c r="N47"/>
      <c r="O47"/>
      <c r="U47"/>
      <c r="V47"/>
    </row>
    <row r="48" spans="3:28">
      <c r="E48"/>
      <c r="F48"/>
      <c r="H48" s="22" t="s">
        <v>335</v>
      </c>
      <c r="I48" s="23">
        <v>8940</v>
      </c>
      <c r="L48" s="22" t="s">
        <v>19</v>
      </c>
      <c r="M48" s="23">
        <v>3880</v>
      </c>
      <c r="N48"/>
      <c r="O48"/>
      <c r="U48"/>
      <c r="V48"/>
    </row>
    <row r="49" spans="3:41">
      <c r="C49" s="21" t="s">
        <v>334</v>
      </c>
      <c r="D49" t="s">
        <v>356</v>
      </c>
      <c r="E49"/>
      <c r="F49"/>
      <c r="L49" s="22" t="s">
        <v>335</v>
      </c>
      <c r="M49" s="23">
        <v>3880</v>
      </c>
      <c r="N49" s="31">
        <f>GETPIVOTDATA("Minecraft Season Pass Price",$L$47)</f>
        <v>3880</v>
      </c>
      <c r="O49"/>
      <c r="U49"/>
      <c r="V49"/>
    </row>
    <row r="50" spans="3:41">
      <c r="C50" s="22" t="s">
        <v>24</v>
      </c>
      <c r="D50" s="20">
        <v>81</v>
      </c>
      <c r="E50">
        <f>GETPIVOTDATA("Subscription Type",$C$49,"Subscription Type","Annual")</f>
        <v>81</v>
      </c>
      <c r="F50" t="str">
        <f>C50</f>
        <v>Annual</v>
      </c>
      <c r="O50"/>
      <c r="U50"/>
      <c r="V50"/>
    </row>
    <row r="51" spans="3:41">
      <c r="C51" s="22" t="s">
        <v>20</v>
      </c>
      <c r="D51" s="20">
        <v>158</v>
      </c>
      <c r="E51">
        <f>GETPIVOTDATA("Subscription Type",$C$49,"Subscription Type","Monthly")</f>
        <v>158</v>
      </c>
      <c r="F51" t="str">
        <f>C51</f>
        <v>Monthly</v>
      </c>
      <c r="L51"/>
      <c r="M51"/>
      <c r="N51"/>
      <c r="O51"/>
      <c r="U51"/>
      <c r="V51"/>
    </row>
    <row r="52" spans="3:41">
      <c r="C52" s="22" t="s">
        <v>27</v>
      </c>
      <c r="D52" s="20">
        <v>96</v>
      </c>
      <c r="E52">
        <f>GETPIVOTDATA("Subscription Type",$C$49,"Subscription Type","Quarterly")</f>
        <v>96</v>
      </c>
      <c r="F52" t="str">
        <f>C52</f>
        <v>Quarterly</v>
      </c>
      <c r="L52"/>
      <c r="M52"/>
      <c r="N52"/>
      <c r="O52"/>
      <c r="U52"/>
      <c r="V52"/>
    </row>
    <row r="53" spans="3:41">
      <c r="C53" s="22" t="s">
        <v>335</v>
      </c>
      <c r="D53" s="20">
        <v>335</v>
      </c>
      <c r="E53" s="25" t="s">
        <v>368</v>
      </c>
      <c r="F53" s="32" t="str">
        <f>IFERROR(VLOOKUP(LARGE(E50:E52,1),E50:F52,2,FALSE),"-")</f>
        <v>Monthly</v>
      </c>
      <c r="H53"/>
      <c r="I53"/>
      <c r="J53"/>
      <c r="L53" s="25" t="s">
        <v>358</v>
      </c>
      <c r="M53" s="25"/>
      <c r="N53"/>
      <c r="U53"/>
      <c r="V53"/>
    </row>
    <row r="54" spans="3:41">
      <c r="H54"/>
      <c r="I54"/>
      <c r="J54"/>
      <c r="L54" s="25"/>
      <c r="M54" s="25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</row>
    <row r="55" spans="3:41">
      <c r="C55" s="25" t="s">
        <v>369</v>
      </c>
      <c r="D55" s="25"/>
      <c r="H55"/>
      <c r="I55"/>
      <c r="J55"/>
      <c r="L55" s="21" t="s">
        <v>326</v>
      </c>
      <c r="M55" t="s">
        <v>340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</row>
    <row r="56" spans="3:41">
      <c r="H56"/>
      <c r="I56"/>
      <c r="J56"/>
      <c r="L56" s="21" t="s">
        <v>16</v>
      </c>
      <c r="M56" t="s">
        <v>340</v>
      </c>
      <c r="N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</row>
    <row r="57" spans="3:41">
      <c r="C57"/>
      <c r="D57"/>
      <c r="G57" s="59"/>
      <c r="H57"/>
      <c r="I57"/>
      <c r="J57"/>
      <c r="L57"/>
      <c r="M57"/>
      <c r="N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</row>
    <row r="58" spans="3:41">
      <c r="C58" s="21" t="s">
        <v>326</v>
      </c>
      <c r="D58" t="s">
        <v>340</v>
      </c>
      <c r="G58"/>
      <c r="H58"/>
      <c r="I58"/>
      <c r="J58"/>
      <c r="L58" s="21" t="s">
        <v>334</v>
      </c>
      <c r="M58" t="s">
        <v>357</v>
      </c>
      <c r="N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</row>
    <row r="59" spans="3:41">
      <c r="G59"/>
      <c r="H59"/>
      <c r="I59"/>
      <c r="J59"/>
      <c r="L59" s="22" t="s">
        <v>22</v>
      </c>
      <c r="M59" s="23">
        <v>575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</row>
    <row r="60" spans="3:41">
      <c r="C60" s="21" t="s">
        <v>334</v>
      </c>
      <c r="D60" t="s">
        <v>357</v>
      </c>
      <c r="G60"/>
      <c r="H60"/>
      <c r="I60"/>
      <c r="J60"/>
      <c r="L60" s="22" t="s">
        <v>26</v>
      </c>
      <c r="M60" s="23">
        <v>1090</v>
      </c>
      <c r="N60"/>
    </row>
    <row r="61" spans="3:41">
      <c r="C61" s="22" t="s">
        <v>24</v>
      </c>
      <c r="D61" s="20">
        <v>790</v>
      </c>
      <c r="E61" s="62">
        <f>GETPIVOTDATA("Subscription Price",$C$60,"Subscription Type","Annual")</f>
        <v>790</v>
      </c>
      <c r="G61"/>
      <c r="H61"/>
      <c r="I61"/>
      <c r="J61"/>
      <c r="L61" s="22" t="s">
        <v>18</v>
      </c>
      <c r="M61" s="23">
        <v>1665</v>
      </c>
      <c r="N61"/>
    </row>
    <row r="62" spans="3:41">
      <c r="C62" s="22" t="s">
        <v>20</v>
      </c>
      <c r="D62" s="20">
        <v>1555</v>
      </c>
      <c r="E62" s="62">
        <f>GETPIVOTDATA("Subscription Price",$C$60,"Subscription Type","Monthly")</f>
        <v>1555</v>
      </c>
      <c r="G62"/>
      <c r="H62"/>
      <c r="I62"/>
      <c r="J62"/>
      <c r="L62" s="22" t="s">
        <v>335</v>
      </c>
      <c r="M62" s="23">
        <v>3330</v>
      </c>
      <c r="N62" s="31">
        <f>GETPIVOTDATA("Subscription Price",$L$58)</f>
        <v>3330</v>
      </c>
    </row>
    <row r="63" spans="3:41">
      <c r="C63" s="22" t="s">
        <v>27</v>
      </c>
      <c r="D63" s="20">
        <v>985</v>
      </c>
      <c r="E63" s="62">
        <f>GETPIVOTDATA("Subscription Price",$C$60,"Subscription Type","Quarterly")</f>
        <v>985</v>
      </c>
      <c r="G63"/>
      <c r="H63"/>
      <c r="I63"/>
      <c r="J63"/>
      <c r="L63" s="22"/>
      <c r="M63" s="23"/>
      <c r="N63"/>
    </row>
    <row r="64" spans="3:41">
      <c r="C64" s="22" t="s">
        <v>335</v>
      </c>
      <c r="D64" s="20">
        <v>3330</v>
      </c>
      <c r="G64"/>
      <c r="H64"/>
      <c r="I64"/>
      <c r="J64"/>
      <c r="L64" s="29" t="s">
        <v>367</v>
      </c>
      <c r="M64" s="30"/>
      <c r="N64"/>
      <c r="P64"/>
    </row>
    <row r="65" spans="3:35">
      <c r="C65"/>
      <c r="D65"/>
      <c r="G65"/>
      <c r="H65"/>
      <c r="I65"/>
      <c r="J65"/>
      <c r="L65" s="25"/>
      <c r="M65" s="25"/>
      <c r="P65"/>
    </row>
    <row r="66" spans="3:35">
      <c r="C66"/>
      <c r="D66"/>
      <c r="G66"/>
      <c r="H66"/>
      <c r="I66"/>
      <c r="J66"/>
      <c r="L66" s="21" t="s">
        <v>326</v>
      </c>
      <c r="M66" t="s">
        <v>340</v>
      </c>
      <c r="P66"/>
      <c r="S66" s="57"/>
    </row>
    <row r="67" spans="3:35">
      <c r="C67"/>
      <c r="D67"/>
      <c r="G67" s="18"/>
      <c r="L67" s="21" t="s">
        <v>16</v>
      </c>
      <c r="M67" t="s">
        <v>340</v>
      </c>
    </row>
    <row r="68" spans="3:35">
      <c r="C68"/>
      <c r="D68" s="66"/>
      <c r="E68" s="33"/>
      <c r="F68" s="33"/>
      <c r="G68" s="34"/>
    </row>
    <row r="69" spans="3:35">
      <c r="C69"/>
      <c r="D69" s="35"/>
      <c r="E69" s="27"/>
      <c r="F69" s="27"/>
      <c r="G69" s="36"/>
      <c r="L69" s="21" t="s">
        <v>334</v>
      </c>
      <c r="M69" t="s">
        <v>349</v>
      </c>
    </row>
    <row r="70" spans="3:35">
      <c r="C70"/>
      <c r="D70" s="35"/>
      <c r="E70" s="27"/>
      <c r="F70" s="27"/>
      <c r="G70" s="36"/>
      <c r="K70"/>
      <c r="L70" s="22" t="s">
        <v>18</v>
      </c>
      <c r="M70" s="20">
        <v>111</v>
      </c>
      <c r="N70" s="32">
        <f>GETPIVOTDATA("Total Value",$L$69,"Plan","Ultimate")</f>
        <v>111</v>
      </c>
      <c r="O70" t="str">
        <f>L70</f>
        <v>Ultimate</v>
      </c>
      <c r="P70"/>
    </row>
    <row r="71" spans="3:35">
      <c r="C71"/>
      <c r="D71" s="35"/>
      <c r="E71" s="27"/>
      <c r="F71" s="27"/>
      <c r="G71" s="36"/>
      <c r="K71"/>
      <c r="L71" s="22" t="s">
        <v>26</v>
      </c>
      <c r="M71" s="20">
        <v>109</v>
      </c>
      <c r="N71" s="32">
        <f>GETPIVOTDATA("Total Value",$L$69,"Plan","Standard")</f>
        <v>109</v>
      </c>
      <c r="O71" t="str">
        <f>L71</f>
        <v>Standard</v>
      </c>
      <c r="P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3:35">
      <c r="D72" s="35"/>
      <c r="E72" s="27"/>
      <c r="F72" s="27"/>
      <c r="G72" s="36"/>
      <c r="K72"/>
      <c r="L72" s="22" t="s">
        <v>22</v>
      </c>
      <c r="M72" s="20">
        <v>115</v>
      </c>
      <c r="N72" s="32">
        <f>GETPIVOTDATA("Total Value",$L$69,"Plan","Core")</f>
        <v>115</v>
      </c>
      <c r="O72" t="str">
        <f>L72</f>
        <v>Core</v>
      </c>
      <c r="P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3:35">
      <c r="D73" s="35"/>
      <c r="E73" s="41" t="s">
        <v>16</v>
      </c>
      <c r="F73" s="42" t="s">
        <v>340</v>
      </c>
      <c r="G73" s="36"/>
      <c r="K73"/>
      <c r="L73" s="22" t="s">
        <v>335</v>
      </c>
      <c r="M73" s="20">
        <v>335</v>
      </c>
      <c r="N73" s="25" t="s">
        <v>368</v>
      </c>
      <c r="O73" t="str">
        <f>IFERROR(VLOOKUP(LARGE(N70:N72,1),N70:O72,2,FALSE),"-")</f>
        <v>Core</v>
      </c>
      <c r="P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3:35">
      <c r="D74" s="35"/>
      <c r="E74" s="28"/>
      <c r="F74" s="28"/>
      <c r="G74" s="36"/>
      <c r="K74"/>
      <c r="O74"/>
      <c r="P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3:35">
      <c r="D75" s="35"/>
      <c r="E75" s="46" t="s">
        <v>334</v>
      </c>
      <c r="F75" s="47" t="s">
        <v>345</v>
      </c>
      <c r="G75" s="36"/>
      <c r="K75"/>
      <c r="O75"/>
      <c r="P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3:35">
      <c r="D76" s="35"/>
      <c r="E76" s="48" t="s">
        <v>337</v>
      </c>
      <c r="F76" s="52">
        <v>98</v>
      </c>
      <c r="G76" s="36"/>
      <c r="K76"/>
      <c r="O76"/>
      <c r="P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3:35">
      <c r="D77" s="35"/>
      <c r="E77" s="49" t="s">
        <v>338</v>
      </c>
      <c r="F77" s="53">
        <v>40</v>
      </c>
      <c r="G77" s="36"/>
      <c r="K77"/>
      <c r="O77"/>
      <c r="P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3:35">
      <c r="D78" s="35"/>
      <c r="E78" s="49" t="s">
        <v>336</v>
      </c>
      <c r="F78" s="53">
        <v>96</v>
      </c>
      <c r="G78" s="36"/>
      <c r="K78"/>
      <c r="O78"/>
      <c r="P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3:35">
      <c r="D79" s="35"/>
      <c r="E79" s="50" t="s">
        <v>346</v>
      </c>
      <c r="F79" s="53">
        <v>101</v>
      </c>
      <c r="G79" s="36"/>
      <c r="K79"/>
      <c r="L79"/>
      <c r="M79"/>
      <c r="N79"/>
      <c r="O79"/>
      <c r="P79"/>
    </row>
    <row r="80" spans="3:35">
      <c r="D80" s="35"/>
      <c r="E80" s="51" t="s">
        <v>335</v>
      </c>
      <c r="F80" s="54">
        <v>335</v>
      </c>
      <c r="G80" s="36"/>
      <c r="K80"/>
      <c r="L80"/>
      <c r="M80"/>
      <c r="N80"/>
      <c r="O80"/>
      <c r="P80"/>
    </row>
    <row r="81" spans="4:19">
      <c r="D81" s="35"/>
      <c r="E81" s="28"/>
      <c r="F81" s="28"/>
      <c r="G81" s="36"/>
      <c r="K81"/>
      <c r="L81"/>
      <c r="M81"/>
      <c r="N81"/>
      <c r="O81"/>
      <c r="P81"/>
      <c r="Q81"/>
    </row>
    <row r="82" spans="4:19">
      <c r="D82" s="35"/>
      <c r="E82" s="28"/>
      <c r="F82" s="28"/>
      <c r="G82" s="36"/>
      <c r="K82"/>
      <c r="L82"/>
      <c r="M82"/>
      <c r="N82"/>
      <c r="O82"/>
      <c r="P82"/>
      <c r="Q82"/>
    </row>
    <row r="83" spans="4:19">
      <c r="D83" s="35"/>
      <c r="E83" s="41" t="s">
        <v>16</v>
      </c>
      <c r="F83" s="42" t="s">
        <v>340</v>
      </c>
      <c r="G83" s="36"/>
      <c r="K83"/>
      <c r="L83"/>
      <c r="M83"/>
      <c r="N83"/>
      <c r="O83"/>
      <c r="P83"/>
      <c r="Q83"/>
    </row>
    <row r="84" spans="4:19">
      <c r="D84" s="35"/>
      <c r="E84" s="28"/>
      <c r="F84" s="28"/>
      <c r="G84" s="36"/>
      <c r="K84"/>
      <c r="L84"/>
      <c r="M84"/>
      <c r="N84"/>
      <c r="O84"/>
      <c r="P84"/>
      <c r="Q84"/>
    </row>
    <row r="85" spans="4:19">
      <c r="D85" s="35"/>
      <c r="E85" s="46" t="s">
        <v>334</v>
      </c>
      <c r="F85" s="47" t="s">
        <v>333</v>
      </c>
      <c r="G85" s="36"/>
      <c r="K85"/>
      <c r="L85"/>
      <c r="M85"/>
      <c r="N85"/>
      <c r="O85"/>
      <c r="P85"/>
      <c r="Q85"/>
    </row>
    <row r="86" spans="4:19">
      <c r="D86" s="35"/>
      <c r="E86" s="48" t="s">
        <v>337</v>
      </c>
      <c r="F86" s="43">
        <v>5388</v>
      </c>
      <c r="G86" s="36"/>
      <c r="K86"/>
      <c r="L86"/>
      <c r="M86"/>
      <c r="N86"/>
      <c r="O86"/>
      <c r="P86"/>
      <c r="Q86"/>
      <c r="R86"/>
      <c r="S86"/>
    </row>
    <row r="87" spans="4:19">
      <c r="D87" s="35"/>
      <c r="E87" s="49" t="s">
        <v>338</v>
      </c>
      <c r="F87" s="44">
        <v>1307</v>
      </c>
      <c r="G87" s="36"/>
      <c r="K87"/>
      <c r="L87"/>
      <c r="M87"/>
      <c r="N87"/>
      <c r="O87"/>
      <c r="P87"/>
      <c r="Q87"/>
      <c r="R87"/>
      <c r="S87"/>
    </row>
    <row r="88" spans="4:19">
      <c r="D88" s="35"/>
      <c r="E88" s="49" t="s">
        <v>336</v>
      </c>
      <c r="F88" s="44">
        <v>1801</v>
      </c>
      <c r="G88" s="36"/>
      <c r="K88"/>
      <c r="L88"/>
      <c r="M88"/>
      <c r="N88"/>
      <c r="O88"/>
      <c r="P88"/>
      <c r="Q88"/>
    </row>
    <row r="89" spans="4:19">
      <c r="D89" s="35"/>
      <c r="E89" s="50" t="s">
        <v>346</v>
      </c>
      <c r="F89" s="44">
        <v>444</v>
      </c>
      <c r="G89" s="36"/>
      <c r="K89"/>
      <c r="L89"/>
      <c r="M89"/>
      <c r="N89"/>
      <c r="O89"/>
      <c r="P89"/>
      <c r="Q89"/>
    </row>
    <row r="90" spans="4:19">
      <c r="D90" s="35"/>
      <c r="E90" s="51" t="s">
        <v>335</v>
      </c>
      <c r="F90" s="45">
        <v>8940</v>
      </c>
      <c r="G90" s="36"/>
      <c r="K90"/>
      <c r="L90"/>
      <c r="M90"/>
      <c r="N90"/>
      <c r="O90"/>
      <c r="P90"/>
      <c r="Q90"/>
    </row>
    <row r="91" spans="4:19">
      <c r="D91" s="35"/>
      <c r="E91" s="28"/>
      <c r="F91" s="28"/>
      <c r="G91" s="36"/>
      <c r="K91"/>
      <c r="L91"/>
      <c r="M91"/>
      <c r="N91"/>
      <c r="O91"/>
      <c r="P91"/>
      <c r="Q91"/>
    </row>
    <row r="92" spans="4:19">
      <c r="D92" s="35"/>
      <c r="E92" s="28"/>
      <c r="F92" s="28"/>
      <c r="G92" s="36"/>
      <c r="K92"/>
      <c r="L92"/>
      <c r="M92"/>
      <c r="N92"/>
      <c r="O92"/>
      <c r="P92"/>
      <c r="Q92"/>
    </row>
    <row r="93" spans="4:19">
      <c r="D93" s="35"/>
      <c r="E93" s="41" t="s">
        <v>16</v>
      </c>
      <c r="F93" s="42" t="s">
        <v>340</v>
      </c>
      <c r="G93" s="36"/>
      <c r="K93"/>
      <c r="L93"/>
      <c r="M93"/>
      <c r="N93"/>
      <c r="O93"/>
      <c r="P93"/>
      <c r="Q93"/>
    </row>
    <row r="94" spans="4:19">
      <c r="D94" s="35"/>
      <c r="E94" s="28"/>
      <c r="F94" s="28"/>
      <c r="G94" s="36"/>
      <c r="K94"/>
      <c r="L94"/>
      <c r="M94"/>
      <c r="N94"/>
      <c r="O94"/>
      <c r="P94"/>
      <c r="Q94"/>
    </row>
    <row r="95" spans="4:19">
      <c r="D95" s="35"/>
      <c r="E95" s="46" t="s">
        <v>334</v>
      </c>
      <c r="F95" s="47" t="s">
        <v>347</v>
      </c>
      <c r="G95" s="36"/>
    </row>
    <row r="96" spans="4:19">
      <c r="D96" s="35"/>
      <c r="E96" s="48" t="s">
        <v>337</v>
      </c>
      <c r="F96" s="43">
        <v>54.979591836734691</v>
      </c>
      <c r="G96" s="36"/>
    </row>
    <row r="97" spans="4:7">
      <c r="D97" s="37"/>
      <c r="E97" s="49" t="s">
        <v>338</v>
      </c>
      <c r="F97" s="44">
        <v>32.674999999999997</v>
      </c>
      <c r="G97" s="36"/>
    </row>
    <row r="98" spans="4:7">
      <c r="D98" s="37"/>
      <c r="E98" s="49" t="s">
        <v>336</v>
      </c>
      <c r="F98" s="44">
        <v>18.760416666666668</v>
      </c>
      <c r="G98" s="36"/>
    </row>
    <row r="99" spans="4:7">
      <c r="D99" s="37"/>
      <c r="E99" s="50" t="s">
        <v>346</v>
      </c>
      <c r="F99" s="44">
        <v>4.3960396039603964</v>
      </c>
      <c r="G99" s="36"/>
    </row>
    <row r="100" spans="4:7">
      <c r="D100" s="37"/>
      <c r="E100" s="51" t="s">
        <v>335</v>
      </c>
      <c r="F100" s="45">
        <v>26.686567164179106</v>
      </c>
      <c r="G100" s="36"/>
    </row>
    <row r="101" spans="4:7">
      <c r="D101" s="37"/>
      <c r="E101" s="27"/>
      <c r="F101" s="27"/>
      <c r="G101" s="36"/>
    </row>
    <row r="102" spans="4:7">
      <c r="D102" s="38"/>
      <c r="E102" s="39"/>
      <c r="F102" s="39"/>
      <c r="G102" s="40"/>
    </row>
  </sheetData>
  <pageMargins left="0.511811024" right="0.511811024" top="0.78740157499999996" bottom="0.78740157499999996" header="0.31496062000000002" footer="0.31496062000000002"/>
  <pageSetup paperSize="9" orientation="portrait" horizontalDpi="4294967292" verticalDpi="1200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showGridLines="0" showRowColHeaders="0" tabSelected="1" workbookViewId="0"/>
  </sheetViews>
  <sheetFormatPr defaultRowHeight="14.25"/>
  <cols>
    <col min="1" max="16384" width="9" style="19"/>
  </cols>
  <sheetData>
    <row r="1" s="14" customFormat="1"/>
    <row r="2" s="14" customFormat="1"/>
    <row r="3" s="14" customFormat="1"/>
    <row r="4" s="14" customFormat="1"/>
    <row r="5" s="14" customFormat="1"/>
    <row r="6" s="14" customFormat="1"/>
    <row r="7" s="14" customFormat="1"/>
    <row r="8" s="14" customFormat="1"/>
    <row r="9" s="14" customFormat="1"/>
    <row r="10" s="14" customFormat="1"/>
    <row r="11" s="14" customFormat="1"/>
    <row r="12" s="14" customFormat="1"/>
    <row r="13" s="14" customFormat="1"/>
    <row r="14" s="14" customFormat="1"/>
    <row r="15" s="14" customFormat="1"/>
    <row r="16" s="14" customFormat="1"/>
    <row r="17" s="14" customFormat="1"/>
    <row r="18" s="14" customFormat="1"/>
    <row r="19" s="14" customFormat="1"/>
    <row r="20" s="14" customFormat="1"/>
    <row r="21" s="14" customFormat="1"/>
    <row r="22" s="14" customFormat="1"/>
    <row r="23" s="14" customFormat="1"/>
    <row r="24" s="14" customFormat="1"/>
    <row r="25" s="14" customFormat="1"/>
    <row r="26" s="14" customFormat="1"/>
    <row r="27" s="14" customFormat="1"/>
    <row r="28" s="14" customFormat="1"/>
    <row r="29" s="14" customFormat="1"/>
    <row r="30" s="14" customFormat="1"/>
    <row r="31" s="14" customFormat="1"/>
    <row r="32" s="14" customFormat="1"/>
    <row r="33" s="14" customFormat="1"/>
    <row r="34" s="14" customFormat="1"/>
    <row r="35" s="14" customFormat="1"/>
    <row r="36" s="14" customFormat="1"/>
    <row r="37" s="14" customFormat="1"/>
    <row r="38" s="14" customFormat="1"/>
    <row r="39" s="14" customFormat="1"/>
    <row r="40" s="14" customFormat="1"/>
    <row r="41" s="14" customFormat="1"/>
    <row r="42" s="14" customFormat="1"/>
    <row r="43" s="14" customFormat="1"/>
    <row r="44" s="14" customFormat="1"/>
    <row r="45" s="14" customFormat="1"/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showGridLines="0" showRowColHeaders="0" zoomScaleNormal="100" workbookViewId="0">
      <pane xSplit="1" topLeftCell="B1" activePane="topRight" state="frozen"/>
      <selection pane="topRight" activeCell="B3" sqref="B3"/>
    </sheetView>
  </sheetViews>
  <sheetFormatPr defaultRowHeight="14.25"/>
  <cols>
    <col min="1" max="1" width="30" style="14" customWidth="1"/>
    <col min="2" max="2" width="3.75" style="19" customWidth="1"/>
    <col min="3" max="11" width="9" style="19"/>
    <col min="12" max="12" width="6.625" style="19" customWidth="1"/>
    <col min="13" max="13" width="9" style="19"/>
    <col min="14" max="14" width="18" style="19" customWidth="1"/>
    <col min="15" max="15" width="91" style="19" customWidth="1"/>
    <col min="16" max="16" width="17" style="65" customWidth="1"/>
    <col min="17" max="19" width="9" style="19"/>
    <col min="20" max="20" width="38.875" style="19" customWidth="1"/>
    <col min="21" max="21" width="18.5" style="19" customWidth="1"/>
    <col min="22" max="23" width="9" style="19"/>
    <col min="24" max="25" width="9" style="19" customWidth="1"/>
    <col min="26" max="26" width="9" style="19"/>
    <col min="27" max="27" width="18.625" style="19" customWidth="1"/>
    <col min="28" max="28" width="4.375" style="19" customWidth="1"/>
    <col min="29" max="29" width="12.375" style="19" customWidth="1"/>
    <col min="30" max="31" width="9" style="19"/>
    <col min="32" max="32" width="25.375" style="19" customWidth="1"/>
    <col min="33" max="33" width="27.625" style="19" customWidth="1"/>
    <col min="34" max="34" width="9" style="19" customWidth="1"/>
    <col min="35" max="35" width="21.5" style="19" customWidth="1"/>
    <col min="36" max="37" width="9" style="19"/>
    <col min="38" max="38" width="24.5" style="19" customWidth="1"/>
    <col min="39" max="41" width="9" style="19"/>
    <col min="42" max="42" width="44.875" style="19" customWidth="1"/>
    <col min="43" max="16384" width="9" style="19"/>
  </cols>
  <sheetData>
    <row r="1" spans="1:53" s="18" customFormat="1" ht="78" customHeight="1">
      <c r="A1" s="14"/>
      <c r="C1" s="64" t="s">
        <v>370</v>
      </c>
      <c r="P1" s="58"/>
    </row>
    <row r="2" spans="1:53" ht="12.75" customHeight="1"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3"/>
      <c r="AY2" s="63"/>
      <c r="AZ2" s="63"/>
      <c r="BA2" s="63"/>
    </row>
    <row r="3" spans="1:53" ht="39" customHeight="1"/>
    <row r="4" spans="1:53" ht="18" customHeight="1"/>
    <row r="5" spans="1:53" ht="18.75" customHeight="1"/>
    <row r="6" spans="1:53" ht="10.5" customHeight="1"/>
    <row r="7" spans="1:53" ht="9.75" customHeight="1"/>
    <row r="8" spans="1:53" ht="23.25" customHeight="1"/>
  </sheetData>
  <mergeCells count="2">
    <mergeCell ref="Q2:AF2"/>
    <mergeCell ref="AH2:AW2"/>
  </mergeCells>
  <pageMargins left="0.511811024" right="0.511811024" top="0.78740157499999996" bottom="0.78740157499999996" header="0.31496062000000002" footer="0.31496062000000002"/>
  <pageSetup paperSize="9" orientation="portrait" horizontalDpi="4294967292" verticalDpi="12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851b35d3-0456-4d6a-bc2f-da927e91d158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TBL-DATA</vt:lpstr>
      <vt:lpstr>Cálculos</vt:lpstr>
      <vt:lpstr>CAPA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Sharllys Rodrigues</cp:lastModifiedBy>
  <dcterms:created xsi:type="dcterms:W3CDTF">2024-12-19T13:13:10Z</dcterms:created>
  <dcterms:modified xsi:type="dcterms:W3CDTF">2025-12-26T14:27:04Z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