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64011"/>
  <mc:AlternateContent xmlns:mc="http://schemas.openxmlformats.org/markup-compatibility/2006">
    <mc:Choice Requires="x15">
      <x15ac:absPath xmlns:x15ac="http://schemas.microsoft.com/office/spreadsheetml/2010/11/ac" url="C:\Users\sharl\Desktop\TABELAS CURSO DATA ANALYST SANTANDER ACADEMY\"/>
    </mc:Choice>
  </mc:AlternateContent>
  <bookViews>
    <workbookView xWindow="0" yWindow="0" windowWidth="20490" windowHeight="7650" tabRatio="0"/>
  </bookViews>
  <sheets>
    <sheet name="CAPA" sheetId="13" r:id="rId1"/>
    <sheet name="RESUMO" sheetId="11" r:id="rId2"/>
    <sheet name="TITULAR" sheetId="14" r:id="rId3"/>
    <sheet name="INFORME" sheetId="15" r:id="rId4"/>
    <sheet name="NOTAS" sheetId="16" r:id="rId5"/>
    <sheet name="TABELAS" sheetId="8" state="hidden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15" l="1"/>
  <c r="G7" i="8"/>
  <c r="G3" i="8"/>
  <c r="C8" i="15" l="1"/>
  <c r="C6" i="8" a="1"/>
  <c r="C6" i="8" s="1"/>
  <c r="C16" i="8" a="1"/>
  <c r="C16" i="8" s="1"/>
  <c r="C8" i="8" a="1"/>
  <c r="C8" i="8" s="1"/>
  <c r="C21" i="8" a="1"/>
  <c r="C21" i="8" s="1"/>
  <c r="C18" i="8" a="1"/>
  <c r="C18" i="8" s="1"/>
  <c r="C13" i="8" a="1"/>
  <c r="C13" i="8" s="1"/>
  <c r="C10" i="8" a="1"/>
  <c r="C10" i="8" s="1"/>
  <c r="C5" i="8" a="1"/>
  <c r="C5" i="8" s="1"/>
  <c r="C7" i="8" a="1"/>
  <c r="C7" i="8" s="1"/>
  <c r="C4" i="8" a="1"/>
  <c r="C4" i="8" s="1"/>
  <c r="C19" i="8" a="1"/>
  <c r="C19" i="8" s="1"/>
  <c r="C11" i="8" a="1"/>
  <c r="C11" i="8" s="1"/>
  <c r="C20" i="8" a="1"/>
  <c r="C20" i="8" s="1"/>
  <c r="C15" i="8" a="1"/>
  <c r="C15" i="8" s="1"/>
  <c r="C12" i="8" a="1"/>
  <c r="C12" i="8" s="1"/>
  <c r="C3" i="8" a="1"/>
  <c r="C3" i="8" s="1"/>
  <c r="C17" i="8" a="1"/>
  <c r="C17" i="8" s="1"/>
  <c r="C14" i="8" a="1"/>
  <c r="C14" i="8" s="1"/>
  <c r="C9" i="8" a="1"/>
  <c r="C9" i="8" s="1"/>
  <c r="G14" i="16"/>
  <c r="G13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4" i="8"/>
  <c r="G5" i="8"/>
  <c r="G6" i="8"/>
  <c r="D9" i="11"/>
  <c r="D8" i="11"/>
  <c r="D7" i="11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3" i="8"/>
  <c r="G9" i="16"/>
  <c r="F9" i="16"/>
  <c r="D9" i="16"/>
  <c r="D11" i="11" s="1"/>
  <c r="H7" i="8" l="1"/>
  <c r="H6" i="8"/>
  <c r="H3" i="8"/>
  <c r="H4" i="8"/>
  <c r="H5" i="8"/>
  <c r="D23" i="15"/>
  <c r="D18" i="15"/>
  <c r="E9" i="16"/>
  <c r="D12" i="11" s="1"/>
  <c r="D14" i="15" l="1"/>
  <c r="D19" i="15" l="1"/>
  <c r="D24" i="15" l="1"/>
</calcChain>
</file>

<file path=xl/sharedStrings.xml><?xml version="1.0" encoding="utf-8"?>
<sst xmlns="http://schemas.openxmlformats.org/spreadsheetml/2006/main" count="185" uniqueCount="84">
  <si>
    <t>NOME</t>
  </si>
  <si>
    <t>CPF</t>
  </si>
  <si>
    <t>NASCIMENTO</t>
  </si>
  <si>
    <t>Nº TITULO DE ELEITOR</t>
  </si>
  <si>
    <t>CÔNJUGUE</t>
  </si>
  <si>
    <t>CEP</t>
  </si>
  <si>
    <t>TELEFONE</t>
  </si>
  <si>
    <t>CELULAR</t>
  </si>
  <si>
    <t>E-MAIL</t>
  </si>
  <si>
    <t>DEPENDENTE CÔNJUGUE</t>
  </si>
  <si>
    <t>RESIDENTE NO EXTERIOR?</t>
  </si>
  <si>
    <t>HOUVE ALTERAÇÕES DA ENTREGA ANTERIOR?</t>
  </si>
  <si>
    <t>DADOS DO TÍTULAR</t>
  </si>
  <si>
    <t>000.000.000-3</t>
  </si>
  <si>
    <t>00000-00</t>
  </si>
  <si>
    <t>00/00/00</t>
  </si>
  <si>
    <t>XXXXX@EMAIL.COM</t>
  </si>
  <si>
    <t>NÃO</t>
  </si>
  <si>
    <t>SIM</t>
  </si>
  <si>
    <t>NNNNNNNNNN NNNNNNNN</t>
  </si>
  <si>
    <t>(00) 0 0000-0000</t>
  </si>
  <si>
    <t>(00) 0000-0000</t>
  </si>
  <si>
    <t>R. NOMERUA, Nº 000 - CIDADE - ESTADO</t>
  </si>
  <si>
    <t xml:space="preserve">    Preencha com os dados da pessoa física</t>
  </si>
  <si>
    <t>ENDEREÇO RESIDENTE</t>
  </si>
  <si>
    <t>INFORMES DE RENDIMENTO BANCÁRIO</t>
  </si>
  <si>
    <t>BANCO</t>
  </si>
  <si>
    <t>VALOR ANUAL</t>
  </si>
  <si>
    <t>ANEXO</t>
  </si>
  <si>
    <t>19 - BANCO A</t>
  </si>
  <si>
    <t>202 - BANCO B</t>
  </si>
  <si>
    <t>164 - BANCO C</t>
  </si>
  <si>
    <t>11 - BANCO D</t>
  </si>
  <si>
    <t>261 - BANCO E</t>
  </si>
  <si>
    <t>256 - BANCO F</t>
  </si>
  <si>
    <t>283 - BANCO G</t>
  </si>
  <si>
    <t>18 - BANCO H</t>
  </si>
  <si>
    <t>142 - BANCO I</t>
  </si>
  <si>
    <t>236 - BANCO J</t>
  </si>
  <si>
    <t>58 - BANCO K</t>
  </si>
  <si>
    <t>384 - BANCO L</t>
  </si>
  <si>
    <t>151 - BANCO M</t>
  </si>
  <si>
    <t>18 - BANCO N</t>
  </si>
  <si>
    <t>273 - BANCO O</t>
  </si>
  <si>
    <t>124 - BANCO P</t>
  </si>
  <si>
    <t>38 - BANCO Q</t>
  </si>
  <si>
    <t>270 - BANCO R</t>
  </si>
  <si>
    <t>388 - BANCO S</t>
  </si>
  <si>
    <t>ANEXO_BANCOXYZ_.pdf</t>
  </si>
  <si>
    <t>3º Banco</t>
  </si>
  <si>
    <t>2º Banco</t>
  </si>
  <si>
    <t>1 º Banco</t>
  </si>
  <si>
    <t>TOTAL</t>
  </si>
  <si>
    <t>NOTAS FISCAIS</t>
  </si>
  <si>
    <t>DATA</t>
  </si>
  <si>
    <t>ORIGEM</t>
  </si>
  <si>
    <t>VALOR</t>
  </si>
  <si>
    <t>SALÁRIO</t>
  </si>
  <si>
    <t>PRESTAÇÃO DE SERVIÇO</t>
  </si>
  <si>
    <t>ALUGUEL</t>
  </si>
  <si>
    <t>ENTRADAS</t>
  </si>
  <si>
    <t>RENDA FIXA</t>
  </si>
  <si>
    <t>AÇÕES</t>
  </si>
  <si>
    <t>RESUMO GERAL IMPOSTO DE RENDA</t>
  </si>
  <si>
    <t>TOTAL POR ORIGEM</t>
  </si>
  <si>
    <t>TOTAL POR BANCO</t>
  </si>
  <si>
    <t>VALOR ESTIMADO DOS IMPOSTOS</t>
  </si>
  <si>
    <t>QTD DIGITADAS</t>
  </si>
  <si>
    <t>% IMPOSTO POR ORIGEM</t>
  </si>
  <si>
    <t>VALOR TOTAL POR ORIGEM</t>
  </si>
  <si>
    <t>Valor Estimado Imposto</t>
  </si>
  <si>
    <t>TOTAL DE IMPOSTOS</t>
  </si>
  <si>
    <t>TOTAL DE ENTRADAS</t>
  </si>
  <si>
    <t xml:space="preserve">    Preencha com valores nas celulas em amarelo, escolha a partir de uma lista nas celulas em laranja.</t>
  </si>
  <si>
    <t>DATA ULTIMO REGISTRO</t>
  </si>
  <si>
    <t>BANCOS MAIS UTILIZADOS</t>
  </si>
  <si>
    <t xml:space="preserve">    Ranking dos bancos com maior histórico de entradas. Anexe o extrato em (.pdf) para comparação.</t>
  </si>
  <si>
    <t xml:space="preserve">   Visão rápida total entradas, origem das entradas e valor estimado dos imposto.</t>
  </si>
  <si>
    <t>VALOR IMPOSTO POR ORIGEM</t>
  </si>
  <si>
    <t>Planilha: Resumo</t>
  </si>
  <si>
    <t>Planilha: Títular</t>
  </si>
  <si>
    <t>Planilha: Informes</t>
  </si>
  <si>
    <t>Planilha: Notas</t>
  </si>
  <si>
    <t>IMPORTANTE!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</si>
</sst>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R$&quot;\ * #,##0.00_-;\-&quot;R$&quot;\ * #,##0.00_-;_-&quot;R$&quot;\ * &quot;-&quot;??_-;_-@_-"/>
    <numFmt numFmtId="164" formatCode="&quot;R$&quot;\ #,##0.00"/>
    <numFmt numFmtId="165" formatCode="&quot;R$&quot;\ #,##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theme="2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ck">
        <color rgb="FFB2B2B2"/>
      </left>
      <right style="thin">
        <color theme="2" tint="-9.9948118533890809E-2"/>
      </right>
      <top style="thick">
        <color rgb="FFB2B2B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ck">
        <color rgb="FFB2B2B2"/>
      </right>
      <top style="thick">
        <color rgb="FFB2B2B2"/>
      </top>
      <bottom style="thin">
        <color theme="2" tint="-9.9948118533890809E-2"/>
      </bottom>
      <diagonal/>
    </border>
    <border>
      <left style="thick">
        <color rgb="FFB2B2B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ck">
        <color rgb="FFB2B2B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ck">
        <color rgb="FFB2B2B2"/>
      </left>
      <right style="thin">
        <color theme="2" tint="-9.9948118533890809E-2"/>
      </right>
      <top style="thin">
        <color theme="2" tint="-9.9948118533890809E-2"/>
      </top>
      <bottom style="thick">
        <color rgb="FFB2B2B2"/>
      </bottom>
      <diagonal/>
    </border>
    <border>
      <left style="thin">
        <color theme="2" tint="-9.9948118533890809E-2"/>
      </left>
      <right style="thick">
        <color rgb="FFB2B2B2"/>
      </right>
      <top style="thin">
        <color theme="2" tint="-9.9948118533890809E-2"/>
      </top>
      <bottom style="thick">
        <color rgb="FFB2B2B2"/>
      </bottom>
      <diagonal/>
    </border>
    <border>
      <left/>
      <right/>
      <top style="thick">
        <color theme="4"/>
      </top>
      <bottom/>
      <diagonal/>
    </border>
    <border>
      <left style="thick">
        <color theme="2" tint="-0.24994659260841701"/>
      </left>
      <right/>
      <top style="thick">
        <color theme="2" tint="-0.24994659260841701"/>
      </top>
      <bottom/>
      <diagonal/>
    </border>
    <border>
      <left/>
      <right/>
      <top style="thick">
        <color theme="2" tint="-0.24994659260841701"/>
      </top>
      <bottom/>
      <diagonal/>
    </border>
    <border>
      <left/>
      <right style="thick">
        <color theme="2" tint="-0.24994659260841701"/>
      </right>
      <top style="thick">
        <color theme="2" tint="-0.24994659260841701"/>
      </top>
      <bottom/>
      <diagonal/>
    </border>
    <border>
      <left/>
      <right style="thick">
        <color theme="2" tint="-0.24994659260841701"/>
      </right>
      <top/>
      <bottom/>
      <diagonal/>
    </border>
    <border>
      <left style="thick">
        <color theme="2" tint="-0.24994659260841701"/>
      </left>
      <right/>
      <top/>
      <bottom style="thick">
        <color theme="2" tint="-0.24994659260841701"/>
      </bottom>
      <diagonal/>
    </border>
    <border>
      <left style="thick">
        <color theme="2" tint="-0.24994659260841701"/>
      </left>
      <right style="thick">
        <color theme="2" tint="-0.24994659260841701"/>
      </right>
      <top style="thick">
        <color theme="2" tint="-0.24994659260841701"/>
      </top>
      <bottom/>
      <diagonal/>
    </border>
    <border>
      <left style="thick">
        <color theme="0" tint="-0.14993743705557422"/>
      </left>
      <right style="thin">
        <color theme="0" tint="-0.14996795556505021"/>
      </right>
      <top style="thick">
        <color theme="0" tint="-0.14993743705557422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ck">
        <color theme="0" tint="-0.1499374370555742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ck">
        <color theme="0" tint="-0.14993743705557422"/>
      </right>
      <top style="thick">
        <color theme="0" tint="-0.14993743705557422"/>
      </top>
      <bottom style="thin">
        <color theme="0" tint="-0.14996795556505021"/>
      </bottom>
      <diagonal/>
    </border>
    <border>
      <left style="thick">
        <color theme="0" tint="-0.14993743705557422"/>
      </left>
      <right style="thin">
        <color theme="0" tint="-0.14996795556505021"/>
      </right>
      <top/>
      <bottom style="thick">
        <color theme="0" tint="-0.14993743705557422"/>
      </bottom>
      <diagonal/>
    </border>
    <border>
      <left style="thin">
        <color rgb="FFB2B2B2"/>
      </left>
      <right style="thick">
        <color theme="2" tint="-0.24994659260841701"/>
      </right>
      <top style="thick">
        <color theme="2" tint="-0.24994659260841701"/>
      </top>
      <bottom style="thin">
        <color rgb="FFB2B2B2"/>
      </bottom>
      <diagonal/>
    </border>
    <border>
      <left style="thin">
        <color rgb="FFB2B2B2"/>
      </left>
      <right style="thick">
        <color theme="2" tint="-0.24994659260841701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ck">
        <color theme="2" tint="-0.24994659260841701"/>
      </right>
      <top style="thin">
        <color rgb="FFB2B2B2"/>
      </top>
      <bottom style="thick">
        <color theme="2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ck">
        <color theme="0" tint="-0.14993743705557422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 tint="-0.14993743705557422"/>
      </bottom>
      <diagonal/>
    </border>
    <border>
      <left style="thin">
        <color rgb="FFB2B2B2"/>
      </left>
      <right style="thick">
        <color theme="2" tint="-0.24994659260841701"/>
      </right>
      <top style="thin">
        <color rgb="FFB2B2B2"/>
      </top>
      <bottom/>
      <diagonal/>
    </border>
    <border>
      <left style="thin">
        <color theme="2" tint="-9.9948118533890809E-2"/>
      </left>
      <right style="thick">
        <color rgb="FFB2B2B2"/>
      </right>
      <top style="thick">
        <color rgb="FFB2B2B2"/>
      </top>
      <bottom style="thin">
        <color theme="2" tint="-0.24994659260841701"/>
      </bottom>
      <diagonal/>
    </border>
    <border>
      <left style="thin">
        <color theme="2" tint="-9.9948118533890809E-2"/>
      </left>
      <right style="thick">
        <color rgb="FFB2B2B2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9.9948118533890809E-2"/>
      </left>
      <right style="thick">
        <color rgb="FFB2B2B2"/>
      </right>
      <top style="thin">
        <color theme="2" tint="-0.24994659260841701"/>
      </top>
      <bottom style="thick">
        <color rgb="FFB2B2B2"/>
      </bottom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  <xf numFmtId="0" fontId="4" fillId="2" borderId="0" applyNumberFormat="0" applyBorder="0" applyAlignment="0" applyProtection="0"/>
    <xf numFmtId="0" fontId="5" fillId="3" borderId="2" applyNumberFormat="0" applyAlignment="0" applyProtection="0"/>
    <xf numFmtId="0" fontId="1" fillId="4" borderId="3" applyNumberFormat="0" applyFont="0" applyAlignment="0" applyProtection="0"/>
    <xf numFmtId="0" fontId="8" fillId="0" borderId="0" applyNumberFormat="0" applyFill="0" applyBorder="0" applyAlignment="0" applyProtection="0"/>
  </cellStyleXfs>
  <cellXfs count="59">
    <xf numFmtId="0" fontId="0" fillId="0" borderId="0" xfId="0"/>
    <xf numFmtId="0" fontId="5" fillId="3" borderId="2" xfId="6"/>
    <xf numFmtId="0" fontId="2" fillId="0" borderId="1" xfId="3"/>
    <xf numFmtId="0" fontId="0" fillId="4" borderId="5" xfId="7" applyFont="1" applyBorder="1" applyAlignment="1">
      <alignment horizontal="left"/>
    </xf>
    <xf numFmtId="0" fontId="0" fillId="4" borderId="7" xfId="7" applyFont="1" applyBorder="1" applyAlignment="1">
      <alignment horizontal="left"/>
    </xf>
    <xf numFmtId="0" fontId="0" fillId="4" borderId="9" xfId="7" applyFont="1" applyBorder="1" applyAlignment="1">
      <alignment horizontal="left"/>
    </xf>
    <xf numFmtId="0" fontId="8" fillId="4" borderId="7" xfId="8" applyFill="1" applyBorder="1" applyAlignment="1">
      <alignment horizontal="left"/>
    </xf>
    <xf numFmtId="0" fontId="0" fillId="5" borderId="0" xfId="0" applyFill="1" applyBorder="1"/>
    <xf numFmtId="0" fontId="0" fillId="0" borderId="0" xfId="0" applyBorder="1"/>
    <xf numFmtId="0" fontId="10" fillId="0" borderId="4" xfId="0" applyFont="1" applyBorder="1" applyAlignment="1">
      <alignment horizontal="right"/>
    </xf>
    <xf numFmtId="0" fontId="10" fillId="0" borderId="6" xfId="0" applyFont="1" applyBorder="1" applyAlignment="1">
      <alignment horizontal="right"/>
    </xf>
    <xf numFmtId="0" fontId="10" fillId="0" borderId="8" xfId="0" applyFont="1" applyBorder="1" applyAlignment="1">
      <alignment horizontal="right"/>
    </xf>
    <xf numFmtId="0" fontId="11" fillId="0" borderId="0" xfId="0" applyFont="1" applyFill="1" applyBorder="1" applyAlignment="1">
      <alignment horizontal="left"/>
    </xf>
    <xf numFmtId="0" fontId="11" fillId="0" borderId="0" xfId="0" applyFont="1"/>
    <xf numFmtId="0" fontId="11" fillId="0" borderId="0" xfId="4" applyFont="1"/>
    <xf numFmtId="0" fontId="2" fillId="0" borderId="0" xfId="3" applyBorder="1"/>
    <xf numFmtId="0" fontId="2" fillId="0" borderId="1" xfId="3" applyBorder="1"/>
    <xf numFmtId="0" fontId="0" fillId="0" borderId="1" xfId="0" applyBorder="1"/>
    <xf numFmtId="0" fontId="6" fillId="8" borderId="0" xfId="0" applyFont="1" applyFill="1" applyAlignment="1"/>
    <xf numFmtId="0" fontId="6" fillId="8" borderId="0" xfId="0" applyFont="1" applyFill="1"/>
    <xf numFmtId="0" fontId="6" fillId="6" borderId="14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44" fontId="13" fillId="9" borderId="0" xfId="1" applyFont="1" applyFill="1"/>
    <xf numFmtId="0" fontId="10" fillId="0" borderId="11" xfId="0" applyFont="1" applyFill="1" applyBorder="1" applyAlignment="1">
      <alignment horizontal="right"/>
    </xf>
    <xf numFmtId="0" fontId="10" fillId="0" borderId="15" xfId="0" applyFont="1" applyFill="1" applyBorder="1" applyAlignment="1">
      <alignment horizontal="right"/>
    </xf>
    <xf numFmtId="0" fontId="14" fillId="6" borderId="18" xfId="0" applyFont="1" applyFill="1" applyBorder="1" applyAlignment="1">
      <alignment horizontal="center"/>
    </xf>
    <xf numFmtId="0" fontId="14" fillId="6" borderId="19" xfId="0" applyFont="1" applyFill="1" applyBorder="1" applyAlignment="1">
      <alignment horizontal="center"/>
    </xf>
    <xf numFmtId="44" fontId="0" fillId="4" borderId="3" xfId="7" applyNumberFormat="1" applyFont="1"/>
    <xf numFmtId="164" fontId="12" fillId="9" borderId="21" xfId="7" applyNumberFormat="1" applyFont="1" applyFill="1" applyBorder="1" applyAlignment="1">
      <alignment horizontal="left"/>
    </xf>
    <xf numFmtId="165" fontId="12" fillId="9" borderId="23" xfId="7" applyNumberFormat="1" applyFont="1" applyFill="1" applyBorder="1" applyAlignment="1">
      <alignment horizontal="left"/>
    </xf>
    <xf numFmtId="0" fontId="12" fillId="9" borderId="5" xfId="7" applyFont="1" applyFill="1" applyBorder="1" applyAlignment="1">
      <alignment horizontal="left"/>
    </xf>
    <xf numFmtId="0" fontId="12" fillId="9" borderId="7" xfId="7" applyFont="1" applyFill="1" applyBorder="1" applyAlignment="1">
      <alignment horizontal="left"/>
    </xf>
    <xf numFmtId="0" fontId="12" fillId="9" borderId="9" xfId="7" applyFont="1" applyFill="1" applyBorder="1" applyAlignment="1">
      <alignment horizontal="left"/>
    </xf>
    <xf numFmtId="0" fontId="6" fillId="6" borderId="11" xfId="0" applyFont="1" applyFill="1" applyBorder="1" applyAlignment="1">
      <alignment horizontal="center" vertical="center"/>
    </xf>
    <xf numFmtId="2" fontId="0" fillId="0" borderId="0" xfId="2" applyNumberFormat="1" applyFont="1"/>
    <xf numFmtId="44" fontId="0" fillId="9" borderId="22" xfId="1" applyNumberFormat="1" applyFont="1" applyFill="1" applyBorder="1"/>
    <xf numFmtId="44" fontId="0" fillId="9" borderId="26" xfId="1" applyNumberFormat="1" applyFont="1" applyFill="1" applyBorder="1"/>
    <xf numFmtId="0" fontId="7" fillId="3" borderId="2" xfId="6" applyFont="1" applyAlignment="1">
      <alignment horizontal="center"/>
    </xf>
    <xf numFmtId="0" fontId="9" fillId="7" borderId="0" xfId="5" applyFont="1" applyFill="1" applyBorder="1" applyAlignment="1">
      <alignment horizontal="left" vertical="center"/>
    </xf>
    <xf numFmtId="0" fontId="9" fillId="7" borderId="10" xfId="5" applyFont="1" applyFill="1" applyBorder="1" applyAlignment="1">
      <alignment horizontal="left" vertical="center"/>
    </xf>
    <xf numFmtId="0" fontId="9" fillId="7" borderId="0" xfId="5" applyFont="1" applyFill="1" applyBorder="1" applyAlignment="1">
      <alignment horizontal="left" vertical="center"/>
    </xf>
    <xf numFmtId="0" fontId="14" fillId="6" borderId="17" xfId="0" applyFont="1" applyFill="1" applyBorder="1" applyAlignment="1">
      <alignment horizontal="center" vertical="center"/>
    </xf>
    <xf numFmtId="0" fontId="14" fillId="6" borderId="20" xfId="0" applyFont="1" applyFill="1" applyBorder="1" applyAlignment="1">
      <alignment horizontal="center" vertical="center"/>
    </xf>
    <xf numFmtId="0" fontId="15" fillId="6" borderId="11" xfId="0" applyFont="1" applyFill="1" applyBorder="1" applyAlignment="1">
      <alignment horizontal="center"/>
    </xf>
    <xf numFmtId="0" fontId="15" fillId="6" borderId="12" xfId="0" applyFont="1" applyFill="1" applyBorder="1" applyAlignment="1">
      <alignment horizontal="center"/>
    </xf>
    <xf numFmtId="0" fontId="15" fillId="6" borderId="13" xfId="0" applyFont="1" applyFill="1" applyBorder="1" applyAlignment="1">
      <alignment horizontal="center"/>
    </xf>
    <xf numFmtId="0" fontId="14" fillId="6" borderId="24" xfId="0" applyFont="1" applyFill="1" applyBorder="1" applyAlignment="1">
      <alignment horizontal="center" vertical="center"/>
    </xf>
    <xf numFmtId="0" fontId="14" fillId="6" borderId="25" xfId="0" applyFont="1" applyFill="1" applyBorder="1" applyAlignment="1">
      <alignment horizontal="center" vertical="center"/>
    </xf>
    <xf numFmtId="14" fontId="10" fillId="4" borderId="3" xfId="7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0" fontId="7" fillId="10" borderId="27" xfId="7" applyFont="1" applyFill="1" applyBorder="1" applyAlignment="1">
      <alignment horizontal="left"/>
    </xf>
    <xf numFmtId="164" fontId="7" fillId="10" borderId="28" xfId="7" applyNumberFormat="1" applyFont="1" applyFill="1" applyBorder="1" applyAlignment="1">
      <alignment horizontal="left"/>
    </xf>
    <xf numFmtId="0" fontId="0" fillId="4" borderId="29" xfId="7" applyFont="1" applyBorder="1" applyAlignment="1">
      <alignment horizontal="left"/>
    </xf>
    <xf numFmtId="164" fontId="13" fillId="10" borderId="3" xfId="7" applyNumberFormat="1" applyFont="1" applyFill="1" applyBorder="1" applyAlignment="1">
      <alignment horizontal="center"/>
    </xf>
    <xf numFmtId="0" fontId="13" fillId="10" borderId="3" xfId="7" applyFont="1" applyFill="1" applyBorder="1" applyAlignment="1">
      <alignment horizontal="center"/>
    </xf>
    <xf numFmtId="164" fontId="0" fillId="0" borderId="0" xfId="0" applyNumberFormat="1"/>
    <xf numFmtId="0" fontId="0" fillId="10" borderId="0" xfId="0" applyFill="1" applyBorder="1"/>
    <xf numFmtId="0" fontId="16" fillId="10" borderId="0" xfId="3" applyFont="1" applyFill="1" applyBorder="1"/>
    <xf numFmtId="0" fontId="17" fillId="10" borderId="1" xfId="3" applyFont="1" applyFill="1"/>
  </cellXfs>
  <cellStyles count="9">
    <cellStyle name="Bom" xfId="5" builtinId="26"/>
    <cellStyle name="Entrada" xfId="6" builtinId="20"/>
    <cellStyle name="Hiperlink" xfId="8" builtinId="8"/>
    <cellStyle name="Moeda" xfId="1" builtinId="4"/>
    <cellStyle name="Normal" xfId="0" builtinId="0"/>
    <cellStyle name="Nota" xfId="7" builtinId="10"/>
    <cellStyle name="Porcentagem" xfId="2" builtinId="5"/>
    <cellStyle name="Título 1" xfId="3" builtinId="16"/>
    <cellStyle name="Título 4" xfId="4" builtinId="19"/>
  </cellStyles>
  <dxfs count="7">
    <dxf>
      <numFmt numFmtId="34" formatCode="_-&quot;R$&quot;\ * #,##0.00_-;\-&quot;R$&quot;\ * #,##0.00_-;_-&quot;R$&quot;\ * &quot;-&quot;??_-;_-@_-"/>
    </dxf>
    <dxf>
      <numFmt numFmtId="19" formatCode="dd/mm/yyyy"/>
    </dxf>
    <dxf>
      <border outline="0">
        <left style="thin">
          <color rgb="FFB2B2B2"/>
        </left>
      </border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0" tint="-0.249977111117893"/>
        </patternFill>
      </fill>
      <border diagonalUp="0" diagonalDown="0">
        <left style="thin">
          <color rgb="FFB2B2B2"/>
        </left>
        <right style="thick">
          <color theme="2" tint="-0.24994659260841701"/>
        </right>
        <top style="thin">
          <color rgb="FFB2B2B2"/>
        </top>
        <bottom style="thin">
          <color rgb="FFB2B2B2"/>
        </bottom>
        <vertical/>
        <horizontal style="thin">
          <color rgb="FFB2B2B2"/>
        </horizontal>
      </border>
    </dxf>
    <dxf>
      <border outline="0">
        <left style="thick">
          <color rgb="FFB2B2B2"/>
        </left>
        <top style="thick">
          <color rgb="FFB2B2B2"/>
        </top>
      </border>
    </dxf>
    <dxf>
      <border outline="0">
        <bottom style="thin">
          <color theme="2" tint="-9.9948118533890809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 style="thick">
          <color auto="1"/>
        </right>
        <top/>
        <bottom/>
        <vertical style="thick">
          <color auto="1"/>
        </vertical>
        <horizontal style="thick">
          <color auto="1"/>
        </horizontal>
      </border>
    </dxf>
  </dxfs>
  <tableStyles count="0" defaultTableStyle="TableStyleMedium2" defaultPivotStyle="PivotStyleLight16"/>
  <colors>
    <mruColors>
      <color rgb="FF5B9A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u="sng"/>
              <a:t>ORIGEM</a:t>
            </a:r>
            <a:r>
              <a:rPr lang="en-US" sz="1600" b="1" u="sng" baseline="0"/>
              <a:t> ENTRADAS</a:t>
            </a:r>
            <a:endParaRPr lang="en-US" sz="1600" b="1" u="sng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2"/>
          <c:order val="0"/>
          <c:tx>
            <c:strRef>
              <c:f>NOTAS!$F$12</c:f>
              <c:strCache>
                <c:ptCount val="1"/>
                <c:pt idx="0">
                  <c:v>VALOR</c:v>
                </c:pt>
              </c:strCache>
            </c:strRef>
          </c:tx>
          <c:dPt>
            <c:idx val="0"/>
            <c:bubble3D val="0"/>
            <c:spPr/>
            <c:extLst>
              <c:ext xmlns:c16="http://schemas.microsoft.com/office/drawing/2014/chart" uri="{C3380CC4-5D6E-409C-BE32-E72D297353CC}">
                <c16:uniqueId val="{0000002D-0EEF-4247-9647-31030D489894}"/>
              </c:ext>
            </c:extLst>
          </c:dPt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0EEF-4247-9647-31030D489894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F-0EEF-4247-9647-31030D489894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30-0EEF-4247-9647-31030D489894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31-0EEF-4247-9647-31030D489894}"/>
              </c:ext>
            </c:extLst>
          </c:dPt>
          <c:dLbls>
            <c:dLbl>
              <c:idx val="0"/>
              <c:layout>
                <c:manualLayout>
                  <c:x val="2.3248528196923593E-2"/>
                  <c:y val="3.300870285951077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D-0EEF-4247-9647-31030D489894}"/>
                </c:ext>
              </c:extLst>
            </c:dLbl>
            <c:dLbl>
              <c:idx val="1"/>
              <c:layout>
                <c:manualLayout>
                  <c:x val="-5.4480215289545537E-3"/>
                  <c:y val="-9.62668352587313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E-0EEF-4247-9647-31030D489894}"/>
                </c:ext>
              </c:extLst>
            </c:dLbl>
            <c:dLbl>
              <c:idx val="2"/>
              <c:layout>
                <c:manualLayout>
                  <c:x val="-0.11118277545984043"/>
                  <c:y val="1.26443569553805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F-0EEF-4247-9647-31030D489894}"/>
                </c:ext>
              </c:extLst>
            </c:dLbl>
            <c:dLbl>
              <c:idx val="3"/>
              <c:layout>
                <c:manualLayout>
                  <c:x val="1.6160891280994939E-2"/>
                  <c:y val="-0.1026346341743778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0-0EEF-4247-9647-31030D489894}"/>
                </c:ext>
              </c:extLst>
            </c:dLbl>
            <c:dLbl>
              <c:idx val="4"/>
              <c:layout>
                <c:manualLayout>
                  <c:x val="-9.8687664041994753E-3"/>
                  <c:y val="6.13966017405719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1-0EEF-4247-9647-31030D4898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val>
            <c:numRef>
              <c:f>TABELAS!$G$3:$G$7</c:f>
              <c:numCache>
                <c:formatCode>"R$"\ #,##0.00</c:formatCode>
                <c:ptCount val="5"/>
                <c:pt idx="0">
                  <c:v>54993</c:v>
                </c:pt>
                <c:pt idx="1">
                  <c:v>129276</c:v>
                </c:pt>
                <c:pt idx="2">
                  <c:v>151905</c:v>
                </c:pt>
                <c:pt idx="3">
                  <c:v>122154</c:v>
                </c:pt>
                <c:pt idx="4">
                  <c:v>59168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0EEF-4247-9647-31030D489894}"/>
            </c:ext>
          </c:extLst>
        </c:ser>
        <c:ser>
          <c:idx val="3"/>
          <c:order val="1"/>
          <c:tx>
            <c:strRef>
              <c:f>TABELAS!$E$2</c:f>
              <c:strCache>
                <c:ptCount val="1"/>
                <c:pt idx="0">
                  <c:v>ORIGEM</c:v>
                </c:pt>
              </c:strCache>
            </c:strRef>
          </c:tx>
          <c:dPt>
            <c:idx val="0"/>
            <c:bubble3D val="0"/>
            <c:spPr/>
            <c:extLst>
              <c:ext xmlns:c16="http://schemas.microsoft.com/office/drawing/2014/chart" uri="{C3380CC4-5D6E-409C-BE32-E72D297353CC}">
                <c16:uniqueId val="{00000033-0EEF-4247-9647-31030D489894}"/>
              </c:ext>
            </c:extLst>
          </c:dPt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34-0EEF-4247-9647-31030D489894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5-0EEF-4247-9647-31030D489894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36-0EEF-4247-9647-31030D489894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37-0EEF-4247-9647-31030D489894}"/>
              </c:ext>
            </c:extLst>
          </c:dPt>
          <c:cat>
            <c:strRef>
              <c:f>TABELAS!$E$3:$E$7</c:f>
              <c:strCache>
                <c:ptCount val="5"/>
                <c:pt idx="0">
                  <c:v>SALÁRIO</c:v>
                </c:pt>
                <c:pt idx="1">
                  <c:v>PRESTAÇÃO DE SERVIÇO</c:v>
                </c:pt>
                <c:pt idx="2">
                  <c:v>ALUGUEL</c:v>
                </c:pt>
                <c:pt idx="3">
                  <c:v>RENDA FIXA</c:v>
                </c:pt>
                <c:pt idx="4">
                  <c:v>AÇÕES</c:v>
                </c:pt>
              </c:strCache>
            </c:strRef>
          </c:cat>
          <c:val>
            <c:numRef>
              <c:f>TABELAS!$E$3:$E$7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0EEF-4247-9647-31030D489894}"/>
            </c:ext>
          </c:extLst>
        </c:ser>
        <c:ser>
          <c:idx val="1"/>
          <c:order val="2"/>
          <c:tx>
            <c:strRef>
              <c:f>NOTAS!$F$12</c:f>
              <c:strCache>
                <c:ptCount val="1"/>
                <c:pt idx="0">
                  <c:v>VALOR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0EEF-4247-9647-31030D4898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0EEF-4247-9647-31030D48989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0EEF-4247-9647-31030D48989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0EEF-4247-9647-31030D48989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0EEF-4247-9647-31030D489894}"/>
              </c:ext>
            </c:extLst>
          </c:dPt>
          <c:val>
            <c:numRef>
              <c:f>TABELAS!$G$3:$G$7</c:f>
              <c:numCache>
                <c:formatCode>"R$"\ #,##0.00</c:formatCode>
                <c:ptCount val="5"/>
                <c:pt idx="0">
                  <c:v>54993</c:v>
                </c:pt>
                <c:pt idx="1">
                  <c:v>129276</c:v>
                </c:pt>
                <c:pt idx="2">
                  <c:v>151905</c:v>
                </c:pt>
                <c:pt idx="3">
                  <c:v>122154</c:v>
                </c:pt>
                <c:pt idx="4">
                  <c:v>59168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0EEF-4247-9647-31030D489894}"/>
            </c:ext>
          </c:extLst>
        </c:ser>
        <c:ser>
          <c:idx val="0"/>
          <c:order val="3"/>
          <c:tx>
            <c:strRef>
              <c:f>TABELAS!$E$2</c:f>
              <c:strCache>
                <c:ptCount val="1"/>
                <c:pt idx="0">
                  <c:v>ORIGEM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0EEF-4247-9647-31030D4898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0EEF-4247-9647-31030D48989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0EEF-4247-9647-31030D48989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0EEF-4247-9647-31030D48989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0EEF-4247-9647-31030D489894}"/>
              </c:ext>
            </c:extLst>
          </c:dPt>
          <c:cat>
            <c:strRef>
              <c:f>TABELAS!$E$3:$E$7</c:f>
              <c:strCache>
                <c:ptCount val="5"/>
                <c:pt idx="0">
                  <c:v>SALÁRIO</c:v>
                </c:pt>
                <c:pt idx="1">
                  <c:v>PRESTAÇÃO DE SERVIÇO</c:v>
                </c:pt>
                <c:pt idx="2">
                  <c:v>ALUGUEL</c:v>
                </c:pt>
                <c:pt idx="3">
                  <c:v>RENDA FIXA</c:v>
                </c:pt>
                <c:pt idx="4">
                  <c:v>AÇÕES</c:v>
                </c:pt>
              </c:strCache>
            </c:strRef>
          </c:cat>
          <c:val>
            <c:numRef>
              <c:f>TABELAS!$E$3:$E$7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0EEF-4247-9647-31030D489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>
        <c:manualLayout>
          <c:xMode val="edge"/>
          <c:yMode val="edge"/>
          <c:x val="0.68066129184051194"/>
          <c:y val="0.53124948197264821"/>
          <c:w val="0.31524401083330716"/>
          <c:h val="0.468750518027351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u="sng"/>
              <a:t>IMPOSTO POR ORIGEM DE ENTRADA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tx>
            <c:strRef>
              <c:f>TABELAS!$H$2</c:f>
              <c:strCache>
                <c:ptCount val="1"/>
                <c:pt idx="0">
                  <c:v>VALOR IMPOSTO POR ORIGEM</c:v>
                </c:pt>
              </c:strCache>
            </c:strRef>
          </c:tx>
          <c:dLbls>
            <c:dLbl>
              <c:idx val="0"/>
              <c:layout>
                <c:manualLayout>
                  <c:x val="6.3964803750035576E-2"/>
                  <c:y val="-2.90060781875949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A-50D8-424E-BEF6-ED7F074C81D1}"/>
                </c:ext>
              </c:extLst>
            </c:dLbl>
            <c:dLbl>
              <c:idx val="1"/>
              <c:layout>
                <c:manualLayout>
                  <c:x val="1.2304461942257218E-2"/>
                  <c:y val="2.17073778186485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7-50D8-424E-BEF6-ED7F074C81D1}"/>
                </c:ext>
              </c:extLst>
            </c:dLbl>
            <c:dLbl>
              <c:idx val="2"/>
              <c:layout>
                <c:manualLayout>
                  <c:x val="-0.21230842593878077"/>
                  <c:y val="4.34949578671087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8-50D8-424E-BEF6-ED7F074C81D1}"/>
                </c:ext>
              </c:extLst>
            </c:dLbl>
            <c:dLbl>
              <c:idx val="3"/>
              <c:layout>
                <c:manualLayout>
                  <c:x val="-8.905220180810745E-3"/>
                  <c:y val="-5.68331513305362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9-50D8-424E-BEF6-ED7F074C81D1}"/>
                </c:ext>
              </c:extLst>
            </c:dLbl>
            <c:dLbl>
              <c:idx val="4"/>
              <c:layout>
                <c:manualLayout>
                  <c:x val="-2.1193331890392863E-2"/>
                  <c:y val="-7.0486255007597739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B-50D8-424E-BEF6-ED7F074C81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val>
            <c:numRef>
              <c:f>TABELAS!$H$3:$H$7</c:f>
              <c:numCache>
                <c:formatCode>"R$"\ #,##0.00</c:formatCode>
                <c:ptCount val="5"/>
                <c:pt idx="0">
                  <c:v>4399.4400000000005</c:v>
                </c:pt>
                <c:pt idx="1">
                  <c:v>18098.64</c:v>
                </c:pt>
                <c:pt idx="2">
                  <c:v>34938.15</c:v>
                </c:pt>
                <c:pt idx="3">
                  <c:v>24430.799999999999</c:v>
                </c:pt>
                <c:pt idx="4">
                  <c:v>10650.24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50D8-424E-BEF6-ED7F074C81D1}"/>
            </c:ext>
          </c:extLst>
        </c:ser>
        <c:ser>
          <c:idx val="0"/>
          <c:order val="1"/>
          <c:tx>
            <c:strRef>
              <c:f>TABELAS!$E$2</c:f>
              <c:strCache>
                <c:ptCount val="1"/>
                <c:pt idx="0">
                  <c:v>ORIGEM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50D8-424E-BEF6-ED7F074C81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50D8-424E-BEF6-ED7F074C81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50D8-424E-BEF6-ED7F074C81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50D8-424E-BEF6-ED7F074C81D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50D8-424E-BEF6-ED7F074C81D1}"/>
              </c:ext>
            </c:extLst>
          </c:dPt>
          <c:cat>
            <c:strRef>
              <c:f>TABELAS!$E$3:$E$7</c:f>
              <c:strCache>
                <c:ptCount val="5"/>
                <c:pt idx="0">
                  <c:v>SALÁRIO</c:v>
                </c:pt>
                <c:pt idx="1">
                  <c:v>PRESTAÇÃO DE SERVIÇO</c:v>
                </c:pt>
                <c:pt idx="2">
                  <c:v>ALUGUEL</c:v>
                </c:pt>
                <c:pt idx="3">
                  <c:v>RENDA FIXA</c:v>
                </c:pt>
                <c:pt idx="4">
                  <c:v>AÇÕES</c:v>
                </c:pt>
              </c:strCache>
            </c:strRef>
          </c:cat>
          <c:val>
            <c:numRef>
              <c:f>TABELAS!$E$3:$E$7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50D8-424E-BEF6-ED7F074C8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>
        <c:manualLayout>
          <c:xMode val="edge"/>
          <c:yMode val="edge"/>
          <c:x val="0.68650990066993256"/>
          <c:y val="0.54879334162177107"/>
          <c:w val="0.30870489769063414"/>
          <c:h val="0.451206658378229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!A1"/><Relationship Id="rId7" Type="http://schemas.openxmlformats.org/officeDocument/2006/relationships/hyperlink" Target="#CAPA!A5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hyperlink" Target="#CAPA!B90"/><Relationship Id="rId5" Type="http://schemas.openxmlformats.org/officeDocument/2006/relationships/hyperlink" Target="#RESUMO!A1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hyperlink" Target="#TITULAR!A1"/><Relationship Id="rId7" Type="http://schemas.openxmlformats.org/officeDocument/2006/relationships/chart" Target="../charts/chart1.xml"/><Relationship Id="rId2" Type="http://schemas.openxmlformats.org/officeDocument/2006/relationships/image" Target="../media/image1.png"/><Relationship Id="rId1" Type="http://schemas.openxmlformats.org/officeDocument/2006/relationships/hyperlink" Target="#CAPA!D26"/><Relationship Id="rId6" Type="http://schemas.openxmlformats.org/officeDocument/2006/relationships/hyperlink" Target="#CAPA!A24"/><Relationship Id="rId5" Type="http://schemas.openxmlformats.org/officeDocument/2006/relationships/hyperlink" Target="#NOTAS!A1"/><Relationship Id="rId4" Type="http://schemas.openxmlformats.org/officeDocument/2006/relationships/hyperlink" Target="#INFORME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!A1"/><Relationship Id="rId2" Type="http://schemas.openxmlformats.org/officeDocument/2006/relationships/image" Target="../media/image1.png"/><Relationship Id="rId1" Type="http://schemas.openxmlformats.org/officeDocument/2006/relationships/hyperlink" Target="#CAPA!D26"/><Relationship Id="rId6" Type="http://schemas.openxmlformats.org/officeDocument/2006/relationships/hyperlink" Target="#RESUMO!A1"/><Relationship Id="rId5" Type="http://schemas.openxmlformats.org/officeDocument/2006/relationships/hyperlink" Target="#NOTAS!A1"/><Relationship Id="rId4" Type="http://schemas.openxmlformats.org/officeDocument/2006/relationships/hyperlink" Target="#TITULAR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image" Target="../media/image1.png"/><Relationship Id="rId1" Type="http://schemas.openxmlformats.org/officeDocument/2006/relationships/hyperlink" Target="#CAPA!D26"/><Relationship Id="rId5" Type="http://schemas.openxmlformats.org/officeDocument/2006/relationships/hyperlink" Target="#INFORME!A1"/><Relationship Id="rId4" Type="http://schemas.openxmlformats.org/officeDocument/2006/relationships/hyperlink" Target="#TITULAR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2" Type="http://schemas.openxmlformats.org/officeDocument/2006/relationships/image" Target="../media/image1.png"/><Relationship Id="rId1" Type="http://schemas.openxmlformats.org/officeDocument/2006/relationships/hyperlink" Target="#CAPA!D26"/><Relationship Id="rId5" Type="http://schemas.openxmlformats.org/officeDocument/2006/relationships/hyperlink" Target="#NOTAS!A1"/><Relationship Id="rId4" Type="http://schemas.openxmlformats.org/officeDocument/2006/relationships/hyperlink" Target="#INFORM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806264</xdr:colOff>
      <xdr:row>5</xdr:row>
      <xdr:rowOff>93013</xdr:rowOff>
    </xdr:from>
    <xdr:to>
      <xdr:col>4</xdr:col>
      <xdr:colOff>1847850</xdr:colOff>
      <xdr:row>11</xdr:row>
      <xdr:rowOff>9524</xdr:rowOff>
    </xdr:to>
    <xdr:sp macro="" textlink="">
      <xdr:nvSpPr>
        <xdr:cNvPr id="3" name="CaixaDeTexto 2"/>
        <xdr:cNvSpPr txBox="1"/>
      </xdr:nvSpPr>
      <xdr:spPr>
        <a:xfrm>
          <a:off x="7292789" y="1121713"/>
          <a:ext cx="3489511" cy="10595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6000" b="1" i="1">
              <a:solidFill>
                <a:schemeClr val="bg1"/>
              </a:solidFill>
            </a:rPr>
            <a:t>I.R. FÁCIL</a:t>
          </a:r>
        </a:p>
      </xdr:txBody>
    </xdr:sp>
    <xdr:clientData/>
  </xdr:twoCellAnchor>
  <xdr:twoCellAnchor editAs="absolute">
    <xdr:from>
      <xdr:col>3</xdr:col>
      <xdr:colOff>970710</xdr:colOff>
      <xdr:row>10</xdr:row>
      <xdr:rowOff>71488</xdr:rowOff>
    </xdr:from>
    <xdr:to>
      <xdr:col>4</xdr:col>
      <xdr:colOff>978554</xdr:colOff>
      <xdr:row>23</xdr:row>
      <xdr:rowOff>12496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7235" y="2052688"/>
          <a:ext cx="2455769" cy="2417508"/>
        </a:xfrm>
        <a:prstGeom prst="rect">
          <a:avLst/>
        </a:prstGeom>
      </xdr:spPr>
    </xdr:pic>
    <xdr:clientData/>
  </xdr:twoCellAnchor>
  <xdr:twoCellAnchor editAs="absolute">
    <xdr:from>
      <xdr:col>3</xdr:col>
      <xdr:colOff>586641</xdr:colOff>
      <xdr:row>39</xdr:row>
      <xdr:rowOff>127927</xdr:rowOff>
    </xdr:from>
    <xdr:to>
      <xdr:col>4</xdr:col>
      <xdr:colOff>1391216</xdr:colOff>
      <xdr:row>40</xdr:row>
      <xdr:rowOff>4662</xdr:rowOff>
    </xdr:to>
    <xdr:sp macro="" textlink="">
      <xdr:nvSpPr>
        <xdr:cNvPr id="6" name="Retângulo 5"/>
        <xdr:cNvSpPr/>
      </xdr:nvSpPr>
      <xdr:spPr>
        <a:xfrm>
          <a:off x="7073166" y="7633627"/>
          <a:ext cx="3252500" cy="6723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</xdr:col>
      <xdr:colOff>2758901</xdr:colOff>
      <xdr:row>40</xdr:row>
      <xdr:rowOff>102153</xdr:rowOff>
    </xdr:from>
    <xdr:to>
      <xdr:col>4</xdr:col>
      <xdr:colOff>2533650</xdr:colOff>
      <xdr:row>44</xdr:row>
      <xdr:rowOff>169389</xdr:rowOff>
    </xdr:to>
    <xdr:sp macro="" textlink="">
      <xdr:nvSpPr>
        <xdr:cNvPr id="7" name="CaixaDeTexto 6"/>
        <xdr:cNvSpPr txBox="1"/>
      </xdr:nvSpPr>
      <xdr:spPr>
        <a:xfrm>
          <a:off x="5968826" y="7798353"/>
          <a:ext cx="5499274" cy="8292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1"/>
              </a:solidFill>
            </a:rPr>
            <a:t>DESENVOLVIDO PARA:</a:t>
          </a:r>
          <a:r>
            <a:rPr lang="pt-BR" sz="1100" baseline="0">
              <a:solidFill>
                <a:schemeClr val="bg1"/>
              </a:solidFill>
            </a:rPr>
            <a:t> </a:t>
          </a:r>
          <a:r>
            <a:rPr lang="pt-BR" sz="1100" i="1" baseline="0">
              <a:solidFill>
                <a:schemeClr val="bg1"/>
              </a:solidFill>
            </a:rPr>
            <a:t>"</a:t>
          </a:r>
          <a:r>
            <a:rPr lang="pt-BR" sz="1100" b="0" i="1" baseline="0">
              <a:solidFill>
                <a:schemeClr val="bg1"/>
              </a:solidFill>
            </a:rPr>
            <a:t>Santander Bootcamp - Excel com InteligÊncia Artificial - 2º Semestre</a:t>
          </a:r>
          <a:r>
            <a:rPr lang="pt-BR" sz="1100" i="1" baseline="0">
              <a:solidFill>
                <a:schemeClr val="bg1"/>
              </a:solidFill>
            </a:rPr>
            <a:t>"</a:t>
          </a:r>
          <a:endParaRPr lang="pt-BR" sz="1100" i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3</xdr:col>
      <xdr:colOff>1009650</xdr:colOff>
      <xdr:row>27</xdr:row>
      <xdr:rowOff>158497</xdr:rowOff>
    </xdr:from>
    <xdr:to>
      <xdr:col>4</xdr:col>
      <xdr:colOff>1009650</xdr:colOff>
      <xdr:row>29</xdr:row>
      <xdr:rowOff>147040</xdr:rowOff>
    </xdr:to>
    <xdr:sp macro="" textlink="">
      <xdr:nvSpPr>
        <xdr:cNvPr id="10" name="Retângulo 9">
          <a:hlinkClick xmlns:r="http://schemas.openxmlformats.org/officeDocument/2006/relationships" r:id="rId2"/>
        </xdr:cNvPr>
        <xdr:cNvSpPr/>
      </xdr:nvSpPr>
      <xdr:spPr>
        <a:xfrm>
          <a:off x="7496175" y="5378197"/>
          <a:ext cx="2447925" cy="3695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TÍTULAR</a:t>
          </a:r>
        </a:p>
      </xdr:txBody>
    </xdr:sp>
    <xdr:clientData/>
  </xdr:twoCellAnchor>
  <xdr:twoCellAnchor editAs="absolute">
    <xdr:from>
      <xdr:col>3</xdr:col>
      <xdr:colOff>1017533</xdr:colOff>
      <xdr:row>30</xdr:row>
      <xdr:rowOff>151929</xdr:rowOff>
    </xdr:from>
    <xdr:to>
      <xdr:col>4</xdr:col>
      <xdr:colOff>1004072</xdr:colOff>
      <xdr:row>32</xdr:row>
      <xdr:rowOff>151929</xdr:rowOff>
    </xdr:to>
    <xdr:sp macro="" textlink="">
      <xdr:nvSpPr>
        <xdr:cNvPr id="11" name="Retângulo 10">
          <a:hlinkClick xmlns:r="http://schemas.openxmlformats.org/officeDocument/2006/relationships" r:id="rId3"/>
        </xdr:cNvPr>
        <xdr:cNvSpPr/>
      </xdr:nvSpPr>
      <xdr:spPr>
        <a:xfrm>
          <a:off x="7504058" y="5943129"/>
          <a:ext cx="2434464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INFORME</a:t>
          </a:r>
          <a:endParaRPr lang="pt-BR" sz="2400" b="1" i="1"/>
        </a:p>
      </xdr:txBody>
    </xdr:sp>
    <xdr:clientData/>
  </xdr:twoCellAnchor>
  <xdr:twoCellAnchor editAs="absolute">
    <xdr:from>
      <xdr:col>3</xdr:col>
      <xdr:colOff>1013261</xdr:colOff>
      <xdr:row>33</xdr:row>
      <xdr:rowOff>144722</xdr:rowOff>
    </xdr:from>
    <xdr:to>
      <xdr:col>4</xdr:col>
      <xdr:colOff>996033</xdr:colOff>
      <xdr:row>35</xdr:row>
      <xdr:rowOff>142218</xdr:rowOff>
    </xdr:to>
    <xdr:sp macro="" textlink="">
      <xdr:nvSpPr>
        <xdr:cNvPr id="12" name="Retângulo 11">
          <a:hlinkClick xmlns:r="http://schemas.openxmlformats.org/officeDocument/2006/relationships" r:id="rId4"/>
        </xdr:cNvPr>
        <xdr:cNvSpPr/>
      </xdr:nvSpPr>
      <xdr:spPr>
        <a:xfrm>
          <a:off x="7499786" y="6507422"/>
          <a:ext cx="2430697" cy="37849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NOTAS</a:t>
          </a:r>
        </a:p>
      </xdr:txBody>
    </xdr:sp>
    <xdr:clientData/>
  </xdr:twoCellAnchor>
  <xdr:twoCellAnchor editAs="absolute">
    <xdr:from>
      <xdr:col>3</xdr:col>
      <xdr:colOff>997826</xdr:colOff>
      <xdr:row>24</xdr:row>
      <xdr:rowOff>152000</xdr:rowOff>
    </xdr:from>
    <xdr:to>
      <xdr:col>4</xdr:col>
      <xdr:colOff>1038225</xdr:colOff>
      <xdr:row>26</xdr:row>
      <xdr:rowOff>141785</xdr:rowOff>
    </xdr:to>
    <xdr:sp macro="" textlink="">
      <xdr:nvSpPr>
        <xdr:cNvPr id="13" name="Retângulo 12">
          <a:hlinkClick xmlns:r="http://schemas.openxmlformats.org/officeDocument/2006/relationships" r:id="rId5"/>
        </xdr:cNvPr>
        <xdr:cNvSpPr/>
      </xdr:nvSpPr>
      <xdr:spPr>
        <a:xfrm>
          <a:off x="7484351" y="4800200"/>
          <a:ext cx="2488324" cy="3707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RESUMO</a:t>
          </a:r>
        </a:p>
      </xdr:txBody>
    </xdr:sp>
    <xdr:clientData/>
  </xdr:twoCellAnchor>
  <xdr:twoCellAnchor editAs="absolute">
    <xdr:from>
      <xdr:col>3</xdr:col>
      <xdr:colOff>994211</xdr:colOff>
      <xdr:row>36</xdr:row>
      <xdr:rowOff>106622</xdr:rowOff>
    </xdr:from>
    <xdr:to>
      <xdr:col>4</xdr:col>
      <xdr:colOff>1085850</xdr:colOff>
      <xdr:row>38</xdr:row>
      <xdr:rowOff>104118</xdr:rowOff>
    </xdr:to>
    <xdr:sp macro="" textlink="">
      <xdr:nvSpPr>
        <xdr:cNvPr id="17" name="Retângulo 16">
          <a:hlinkClick xmlns:r="http://schemas.openxmlformats.org/officeDocument/2006/relationships" r:id="rId6"/>
        </xdr:cNvPr>
        <xdr:cNvSpPr/>
      </xdr:nvSpPr>
      <xdr:spPr>
        <a:xfrm>
          <a:off x="7480736" y="7040822"/>
          <a:ext cx="2539564" cy="37849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DOCUMENTAÇÃO</a:t>
          </a:r>
        </a:p>
      </xdr:txBody>
    </xdr:sp>
    <xdr:clientData/>
  </xdr:twoCellAnchor>
  <xdr:twoCellAnchor>
    <xdr:from>
      <xdr:col>0</xdr:col>
      <xdr:colOff>1343025</xdr:colOff>
      <xdr:row>53</xdr:row>
      <xdr:rowOff>171450</xdr:rowOff>
    </xdr:from>
    <xdr:to>
      <xdr:col>3</xdr:col>
      <xdr:colOff>1666875</xdr:colOff>
      <xdr:row>58</xdr:row>
      <xdr:rowOff>180975</xdr:rowOff>
    </xdr:to>
    <xdr:sp macro="" textlink="">
      <xdr:nvSpPr>
        <xdr:cNvPr id="8" name="CaixaDeTexto 7"/>
        <xdr:cNvSpPr txBox="1"/>
      </xdr:nvSpPr>
      <xdr:spPr>
        <a:xfrm>
          <a:off x="1343025" y="10534650"/>
          <a:ext cx="6600825" cy="962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4400" b="1" i="1">
              <a:solidFill>
                <a:schemeClr val="bg1"/>
              </a:solidFill>
            </a:rPr>
            <a:t>DOCUMENTAÇÃO I.R FÁCIL</a:t>
          </a:r>
        </a:p>
      </xdr:txBody>
    </xdr:sp>
    <xdr:clientData/>
  </xdr:twoCellAnchor>
  <xdr:twoCellAnchor>
    <xdr:from>
      <xdr:col>0</xdr:col>
      <xdr:colOff>1228726</xdr:colOff>
      <xdr:row>54</xdr:row>
      <xdr:rowOff>9525</xdr:rowOff>
    </xdr:from>
    <xdr:to>
      <xdr:col>0</xdr:col>
      <xdr:colOff>1314450</xdr:colOff>
      <xdr:row>57</xdr:row>
      <xdr:rowOff>161925</xdr:rowOff>
    </xdr:to>
    <xdr:sp macro="" textlink="">
      <xdr:nvSpPr>
        <xdr:cNvPr id="9" name="Retângulo 8"/>
        <xdr:cNvSpPr/>
      </xdr:nvSpPr>
      <xdr:spPr>
        <a:xfrm>
          <a:off x="1228726" y="10563225"/>
          <a:ext cx="85724" cy="72390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9525</xdr:colOff>
      <xdr:row>61</xdr:row>
      <xdr:rowOff>0</xdr:rowOff>
    </xdr:from>
    <xdr:to>
      <xdr:col>8</xdr:col>
      <xdr:colOff>1266825</xdr:colOff>
      <xdr:row>62</xdr:row>
      <xdr:rowOff>171450</xdr:rowOff>
    </xdr:to>
    <xdr:sp macro="" textlink="">
      <xdr:nvSpPr>
        <xdr:cNvPr id="21" name="CaixaDeTexto 20"/>
        <xdr:cNvSpPr txBox="1"/>
      </xdr:nvSpPr>
      <xdr:spPr>
        <a:xfrm>
          <a:off x="2400300" y="12325350"/>
          <a:ext cx="1463992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/>
            <a:t>Trás</a:t>
          </a:r>
          <a:r>
            <a:rPr lang="pt-BR" sz="1800" baseline="0"/>
            <a:t> de forma resumida a quantidade entradas e o valor de imposto estimado, em visão geral e visão isolada de: origem das entradas e imposto por origem</a:t>
          </a:r>
          <a:endParaRPr lang="pt-BR" sz="1800"/>
        </a:p>
      </xdr:txBody>
    </xdr:sp>
    <xdr:clientData/>
  </xdr:twoCellAnchor>
  <xdr:twoCellAnchor>
    <xdr:from>
      <xdr:col>1</xdr:col>
      <xdr:colOff>9525</xdr:colOff>
      <xdr:row>65</xdr:row>
      <xdr:rowOff>180975</xdr:rowOff>
    </xdr:from>
    <xdr:to>
      <xdr:col>3</xdr:col>
      <xdr:colOff>581025</xdr:colOff>
      <xdr:row>68</xdr:row>
      <xdr:rowOff>0</xdr:rowOff>
    </xdr:to>
    <xdr:sp macro="" textlink="">
      <xdr:nvSpPr>
        <xdr:cNvPr id="22" name="CaixaDeTexto 21"/>
        <xdr:cNvSpPr txBox="1"/>
      </xdr:nvSpPr>
      <xdr:spPr>
        <a:xfrm>
          <a:off x="2400300" y="13325475"/>
          <a:ext cx="4667250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/>
            <a:t>Informações sobre o requerente</a:t>
          </a:r>
          <a:r>
            <a:rPr lang="pt-BR" sz="1800" baseline="0"/>
            <a:t> (pessoa fisíca).</a:t>
          </a:r>
          <a:endParaRPr lang="pt-BR" sz="1800"/>
        </a:p>
      </xdr:txBody>
    </xdr:sp>
    <xdr:clientData/>
  </xdr:twoCellAnchor>
  <xdr:twoCellAnchor>
    <xdr:from>
      <xdr:col>1</xdr:col>
      <xdr:colOff>9524</xdr:colOff>
      <xdr:row>70</xdr:row>
      <xdr:rowOff>190499</xdr:rowOff>
    </xdr:from>
    <xdr:to>
      <xdr:col>8</xdr:col>
      <xdr:colOff>1343024</xdr:colOff>
      <xdr:row>74</xdr:row>
      <xdr:rowOff>180974</xdr:rowOff>
    </xdr:to>
    <xdr:sp macro="" textlink="">
      <xdr:nvSpPr>
        <xdr:cNvPr id="23" name="CaixaDeTexto 22"/>
        <xdr:cNvSpPr txBox="1"/>
      </xdr:nvSpPr>
      <xdr:spPr>
        <a:xfrm>
          <a:off x="2400299" y="14344649"/>
          <a:ext cx="14716125" cy="752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/>
            <a:t>Ranking dos bancos que mais receberam entradas,</a:t>
          </a:r>
          <a:r>
            <a:rPr lang="pt-BR" sz="1800" baseline="0"/>
            <a:t> rankeado por quantidade de vezes listado e não por valor (R$), e o valor total recebido. Calculados diretamente da planilha "Tabelas", clique em reexibir para editar, utilizando ÍNDICE E CORRESP.</a:t>
          </a:r>
          <a:endParaRPr lang="pt-BR" sz="3200"/>
        </a:p>
      </xdr:txBody>
    </xdr:sp>
    <xdr:clientData/>
  </xdr:twoCellAnchor>
  <xdr:twoCellAnchor>
    <xdr:from>
      <xdr:col>1</xdr:col>
      <xdr:colOff>9525</xdr:colOff>
      <xdr:row>77</xdr:row>
      <xdr:rowOff>9524</xdr:rowOff>
    </xdr:from>
    <xdr:to>
      <xdr:col>8</xdr:col>
      <xdr:colOff>1333500</xdr:colOff>
      <xdr:row>80</xdr:row>
      <xdr:rowOff>190499</xdr:rowOff>
    </xdr:to>
    <xdr:sp macro="" textlink="">
      <xdr:nvSpPr>
        <xdr:cNvPr id="24" name="CaixaDeTexto 23"/>
        <xdr:cNvSpPr txBox="1"/>
      </xdr:nvSpPr>
      <xdr:spPr>
        <a:xfrm>
          <a:off x="2400300" y="15973424"/>
          <a:ext cx="14706600" cy="752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/>
            <a:t>Visão</a:t>
          </a:r>
          <a:r>
            <a:rPr lang="pt-BR" sz="1800" baseline="0"/>
            <a:t> detalhada das entradas com: Data, Origem, Banco, Valor e Imposto previsto sobre a entrada especifica. Filtro simples de: "Valor Total de Entrada por Origem" e "Valor Total de entrada por Banco".</a:t>
          </a:r>
          <a:endParaRPr lang="pt-BR" sz="1800"/>
        </a:p>
      </xdr:txBody>
    </xdr:sp>
    <xdr:clientData/>
  </xdr:twoCellAnchor>
  <xdr:twoCellAnchor>
    <xdr:from>
      <xdr:col>6</xdr:col>
      <xdr:colOff>9525</xdr:colOff>
      <xdr:row>87</xdr:row>
      <xdr:rowOff>142875</xdr:rowOff>
    </xdr:from>
    <xdr:to>
      <xdr:col>8</xdr:col>
      <xdr:colOff>1232807</xdr:colOff>
      <xdr:row>89</xdr:row>
      <xdr:rowOff>137432</xdr:rowOff>
    </xdr:to>
    <xdr:sp macro="" textlink="">
      <xdr:nvSpPr>
        <xdr:cNvPr id="27" name="Retângulo Arredondado 26">
          <a:hlinkClick xmlns:r="http://schemas.openxmlformats.org/officeDocument/2006/relationships" r:id="rId7"/>
        </xdr:cNvPr>
        <xdr:cNvSpPr/>
      </xdr:nvSpPr>
      <xdr:spPr>
        <a:xfrm>
          <a:off x="14563725" y="17583150"/>
          <a:ext cx="2442482" cy="375557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548368</xdr:colOff>
      <xdr:row>88</xdr:row>
      <xdr:rowOff>1361</xdr:rowOff>
    </xdr:from>
    <xdr:to>
      <xdr:col>8</xdr:col>
      <xdr:colOff>994683</xdr:colOff>
      <xdr:row>89</xdr:row>
      <xdr:rowOff>44904</xdr:rowOff>
    </xdr:to>
    <xdr:sp macro="" textlink="">
      <xdr:nvSpPr>
        <xdr:cNvPr id="28" name="CaixaDeTexto 27">
          <a:hlinkClick xmlns:r="http://schemas.openxmlformats.org/officeDocument/2006/relationships" r:id="rId7"/>
        </xdr:cNvPr>
        <xdr:cNvSpPr txBox="1"/>
      </xdr:nvSpPr>
      <xdr:spPr>
        <a:xfrm>
          <a:off x="15102568" y="17632136"/>
          <a:ext cx="1665515" cy="2340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 baseline="0">
              <a:solidFill>
                <a:schemeClr val="bg1"/>
              </a:solidFill>
            </a:rPr>
            <a:t>PÁGINA ANTERIOR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0</xdr:colOff>
      <xdr:row>82</xdr:row>
      <xdr:rowOff>171449</xdr:rowOff>
    </xdr:from>
    <xdr:to>
      <xdr:col>8</xdr:col>
      <xdr:colOff>1323975</xdr:colOff>
      <xdr:row>87</xdr:row>
      <xdr:rowOff>9525</xdr:rowOff>
    </xdr:to>
    <xdr:sp macro="" textlink="">
      <xdr:nvSpPr>
        <xdr:cNvPr id="29" name="CaixaDeTexto 28"/>
        <xdr:cNvSpPr txBox="1"/>
      </xdr:nvSpPr>
      <xdr:spPr>
        <a:xfrm>
          <a:off x="2390775" y="17087849"/>
          <a:ext cx="14706600" cy="7905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/>
            <a:t>Valores (%) de taxa e lógica</a:t>
          </a:r>
          <a:r>
            <a:rPr lang="pt-BR" sz="1800" baseline="0"/>
            <a:t> de cálculo de impostos sobre origens de entrada estão simplificados para fins acadêmicos. Para fins de uso comercial ou corporativo é necessarío retificar valores e aprimorar lógicas de cálculos.</a:t>
          </a:r>
          <a:endParaRPr lang="pt-BR" sz="1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484713</xdr:colOff>
      <xdr:row>1</xdr:row>
      <xdr:rowOff>85135</xdr:rowOff>
    </xdr:from>
    <xdr:to>
      <xdr:col>0</xdr:col>
      <xdr:colOff>2218765</xdr:colOff>
      <xdr:row>9</xdr:row>
      <xdr:rowOff>58001</xdr:rowOff>
    </xdr:to>
    <xdr:grpSp>
      <xdr:nvGrpSpPr>
        <xdr:cNvPr id="2" name="Agrupar 1">
          <a:hlinkClick xmlns:r="http://schemas.openxmlformats.org/officeDocument/2006/relationships" r:id="rId1"/>
        </xdr:cNvPr>
        <xdr:cNvGrpSpPr/>
      </xdr:nvGrpSpPr>
      <xdr:grpSpPr>
        <a:xfrm>
          <a:off x="484713" y="275635"/>
          <a:ext cx="1734052" cy="1696891"/>
          <a:chOff x="484713" y="275635"/>
          <a:chExt cx="1734052" cy="1695648"/>
        </a:xfrm>
      </xdr:grpSpPr>
      <xdr:sp macro="" textlink="">
        <xdr:nvSpPr>
          <xdr:cNvPr id="3" name="CaixaDeTexto 2"/>
          <xdr:cNvSpPr txBox="1"/>
        </xdr:nvSpPr>
        <xdr:spPr>
          <a:xfrm>
            <a:off x="549088" y="283508"/>
            <a:ext cx="1669677" cy="46728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800" b="1" i="1">
                <a:solidFill>
                  <a:schemeClr val="bg1"/>
                </a:solidFill>
              </a:rPr>
              <a:t>I.R. FÁCIL</a:t>
            </a:r>
          </a:p>
        </xdr:txBody>
      </xdr:sp>
      <xdr:sp macro="" textlink="">
        <xdr:nvSpPr>
          <xdr:cNvPr id="4" name="Retângulo 3"/>
          <xdr:cNvSpPr/>
        </xdr:nvSpPr>
        <xdr:spPr>
          <a:xfrm>
            <a:off x="484713" y="275635"/>
            <a:ext cx="45719" cy="485775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solidFill>
              <a:schemeClr val="bg1">
                <a:lumMod val="9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5" name="Imagem 4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82706" y="728382"/>
            <a:ext cx="1263498" cy="1242901"/>
          </a:xfrm>
          <a:prstGeom prst="rect">
            <a:avLst/>
          </a:prstGeom>
        </xdr:spPr>
      </xdr:pic>
    </xdr:grpSp>
    <xdr:clientData/>
  </xdr:twoCellAnchor>
  <xdr:twoCellAnchor editAs="absolute">
    <xdr:from>
      <xdr:col>0</xdr:col>
      <xdr:colOff>215166</xdr:colOff>
      <xdr:row>21</xdr:row>
      <xdr:rowOff>127927</xdr:rowOff>
    </xdr:from>
    <xdr:to>
      <xdr:col>0</xdr:col>
      <xdr:colOff>2198607</xdr:colOff>
      <xdr:row>22</xdr:row>
      <xdr:rowOff>4662</xdr:rowOff>
    </xdr:to>
    <xdr:sp macro="" textlink="">
      <xdr:nvSpPr>
        <xdr:cNvPr id="6" name="Retângulo 5"/>
        <xdr:cNvSpPr/>
      </xdr:nvSpPr>
      <xdr:spPr>
        <a:xfrm>
          <a:off x="215166" y="4384945"/>
          <a:ext cx="1983441" cy="6723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282401</xdr:colOff>
      <xdr:row>22</xdr:row>
      <xdr:rowOff>83103</xdr:rowOff>
    </xdr:from>
    <xdr:to>
      <xdr:col>0</xdr:col>
      <xdr:colOff>2265841</xdr:colOff>
      <xdr:row>26</xdr:row>
      <xdr:rowOff>150339</xdr:rowOff>
    </xdr:to>
    <xdr:sp macro="" textlink="">
      <xdr:nvSpPr>
        <xdr:cNvPr id="7" name="CaixaDeTexto 6"/>
        <xdr:cNvSpPr txBox="1"/>
      </xdr:nvSpPr>
      <xdr:spPr>
        <a:xfrm>
          <a:off x="282401" y="4530621"/>
          <a:ext cx="1983440" cy="8292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1"/>
              </a:solidFill>
            </a:rPr>
            <a:t>DESENVOLVIDO PARA:</a:t>
          </a:r>
          <a:r>
            <a:rPr lang="pt-BR" sz="1100" baseline="0">
              <a:solidFill>
                <a:schemeClr val="bg1"/>
              </a:solidFill>
            </a:rPr>
            <a:t> </a:t>
          </a:r>
          <a:r>
            <a:rPr lang="pt-BR" sz="1100" i="1" baseline="0">
              <a:solidFill>
                <a:schemeClr val="bg1"/>
              </a:solidFill>
            </a:rPr>
            <a:t>"</a:t>
          </a:r>
          <a:r>
            <a:rPr lang="pt-BR" sz="1100" b="0" i="1" baseline="0">
              <a:solidFill>
                <a:schemeClr val="bg1"/>
              </a:solidFill>
            </a:rPr>
            <a:t>Santander Bootcamp - Excel com InteligÊncia Artificial - 2º Semestre</a:t>
          </a:r>
          <a:r>
            <a:rPr lang="pt-BR" sz="1100" i="1" baseline="0">
              <a:solidFill>
                <a:schemeClr val="bg1"/>
              </a:solidFill>
            </a:rPr>
            <a:t>"</a:t>
          </a:r>
          <a:endParaRPr lang="pt-BR" sz="1100" i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10885</xdr:colOff>
      <xdr:row>28</xdr:row>
      <xdr:rowOff>190500</xdr:rowOff>
    </xdr:from>
    <xdr:to>
      <xdr:col>4</xdr:col>
      <xdr:colOff>5442</xdr:colOff>
      <xdr:row>30</xdr:row>
      <xdr:rowOff>185057</xdr:rowOff>
    </xdr:to>
    <xdr:sp macro="" textlink="">
      <xdr:nvSpPr>
        <xdr:cNvPr id="8" name="Retângulo Arredondado 7">
          <a:hlinkClick xmlns:r="http://schemas.openxmlformats.org/officeDocument/2006/relationships" r:id="rId3"/>
        </xdr:cNvPr>
        <xdr:cNvSpPr/>
      </xdr:nvSpPr>
      <xdr:spPr>
        <a:xfrm>
          <a:off x="6287860" y="3981450"/>
          <a:ext cx="2442482" cy="385082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997403</xdr:colOff>
      <xdr:row>29</xdr:row>
      <xdr:rowOff>48986</xdr:rowOff>
    </xdr:from>
    <xdr:to>
      <xdr:col>3</xdr:col>
      <xdr:colOff>2662918</xdr:colOff>
      <xdr:row>30</xdr:row>
      <xdr:rowOff>92529</xdr:rowOff>
    </xdr:to>
    <xdr:sp macro="" textlink="">
      <xdr:nvSpPr>
        <xdr:cNvPr id="9" name="CaixaDeTexto 8">
          <a:hlinkClick xmlns:r="http://schemas.openxmlformats.org/officeDocument/2006/relationships" r:id="rId3"/>
        </xdr:cNvPr>
        <xdr:cNvSpPr txBox="1"/>
      </xdr:nvSpPr>
      <xdr:spPr>
        <a:xfrm>
          <a:off x="7274378" y="5840186"/>
          <a:ext cx="1665515" cy="2340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bg1"/>
              </a:solidFill>
            </a:rPr>
            <a:t>PRÓXIMA</a:t>
          </a:r>
          <a:r>
            <a:rPr lang="pt-BR" sz="1100" b="1" baseline="0">
              <a:solidFill>
                <a:schemeClr val="bg1"/>
              </a:solidFill>
            </a:rPr>
            <a:t> PÁGINA 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420415</xdr:colOff>
      <xdr:row>12</xdr:row>
      <xdr:rowOff>110872</xdr:rowOff>
    </xdr:from>
    <xdr:to>
      <xdr:col>0</xdr:col>
      <xdr:colOff>1918139</xdr:colOff>
      <xdr:row>14</xdr:row>
      <xdr:rowOff>89890</xdr:rowOff>
    </xdr:to>
    <xdr:sp macro="" textlink="">
      <xdr:nvSpPr>
        <xdr:cNvPr id="10" name="Retângulo 9">
          <a:hlinkClick xmlns:r="http://schemas.openxmlformats.org/officeDocument/2006/relationships" r:id="rId3"/>
        </xdr:cNvPr>
        <xdr:cNvSpPr/>
      </xdr:nvSpPr>
      <xdr:spPr>
        <a:xfrm>
          <a:off x="420415" y="2647292"/>
          <a:ext cx="1497724" cy="3695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TÍTULAR</a:t>
          </a:r>
        </a:p>
      </xdr:txBody>
    </xdr:sp>
    <xdr:clientData/>
  </xdr:twoCellAnchor>
  <xdr:twoCellAnchor editAs="absolute">
    <xdr:from>
      <xdr:col>0</xdr:col>
      <xdr:colOff>426983</xdr:colOff>
      <xdr:row>15</xdr:row>
      <xdr:rowOff>94779</xdr:rowOff>
    </xdr:from>
    <xdr:to>
      <xdr:col>0</xdr:col>
      <xdr:colOff>1911569</xdr:colOff>
      <xdr:row>17</xdr:row>
      <xdr:rowOff>94779</xdr:rowOff>
    </xdr:to>
    <xdr:sp macro="" textlink="">
      <xdr:nvSpPr>
        <xdr:cNvPr id="11" name="Retângulo 10">
          <a:hlinkClick xmlns:r="http://schemas.openxmlformats.org/officeDocument/2006/relationships" r:id="rId4"/>
        </xdr:cNvPr>
        <xdr:cNvSpPr/>
      </xdr:nvSpPr>
      <xdr:spPr>
        <a:xfrm>
          <a:off x="426983" y="3212224"/>
          <a:ext cx="1484586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INFORME</a:t>
          </a:r>
          <a:endParaRPr lang="pt-BR" sz="2400" b="1" i="1"/>
        </a:p>
      </xdr:txBody>
    </xdr:sp>
    <xdr:clientData/>
  </xdr:twoCellAnchor>
  <xdr:twoCellAnchor editAs="absolute">
    <xdr:from>
      <xdr:col>0</xdr:col>
      <xdr:colOff>422711</xdr:colOff>
      <xdr:row>18</xdr:row>
      <xdr:rowOff>87572</xdr:rowOff>
    </xdr:from>
    <xdr:to>
      <xdr:col>0</xdr:col>
      <xdr:colOff>1905000</xdr:colOff>
      <xdr:row>20</xdr:row>
      <xdr:rowOff>85068</xdr:rowOff>
    </xdr:to>
    <xdr:sp macro="" textlink="">
      <xdr:nvSpPr>
        <xdr:cNvPr id="12" name="Retângulo 11">
          <a:hlinkClick xmlns:r="http://schemas.openxmlformats.org/officeDocument/2006/relationships" r:id="rId5"/>
        </xdr:cNvPr>
        <xdr:cNvSpPr/>
      </xdr:nvSpPr>
      <xdr:spPr>
        <a:xfrm>
          <a:off x="422711" y="3776517"/>
          <a:ext cx="1482289" cy="3750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NOTAS</a:t>
          </a:r>
        </a:p>
      </xdr:txBody>
    </xdr:sp>
    <xdr:clientData/>
  </xdr:twoCellAnchor>
  <xdr:twoCellAnchor editAs="absolute">
    <xdr:from>
      <xdr:col>0</xdr:col>
      <xdr:colOff>407276</xdr:colOff>
      <xdr:row>9</xdr:row>
      <xdr:rowOff>161525</xdr:rowOff>
    </xdr:from>
    <xdr:to>
      <xdr:col>0</xdr:col>
      <xdr:colOff>1924707</xdr:colOff>
      <xdr:row>11</xdr:row>
      <xdr:rowOff>113210</xdr:rowOff>
    </xdr:to>
    <xdr:sp macro="" textlink="">
      <xdr:nvSpPr>
        <xdr:cNvPr id="13" name="Retângulo 12">
          <a:hlinkClick xmlns:r="http://schemas.openxmlformats.org/officeDocument/2006/relationships" r:id="rId3"/>
        </xdr:cNvPr>
        <xdr:cNvSpPr/>
      </xdr:nvSpPr>
      <xdr:spPr>
        <a:xfrm>
          <a:off x="407276" y="2070537"/>
          <a:ext cx="1517431" cy="369543"/>
        </a:xfrm>
        <a:prstGeom prst="rect">
          <a:avLst/>
        </a:prstGeom>
        <a:solidFill>
          <a:srgbClr val="5B9AD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RESUMO</a:t>
          </a:r>
        </a:p>
      </xdr:txBody>
    </xdr:sp>
    <xdr:clientData/>
  </xdr:twoCellAnchor>
  <xdr:twoCellAnchor>
    <xdr:from>
      <xdr:col>2</xdr:col>
      <xdr:colOff>20410</xdr:colOff>
      <xdr:row>28</xdr:row>
      <xdr:rowOff>180975</xdr:rowOff>
    </xdr:from>
    <xdr:to>
      <xdr:col>2</xdr:col>
      <xdr:colOff>2462892</xdr:colOff>
      <xdr:row>30</xdr:row>
      <xdr:rowOff>175532</xdr:rowOff>
    </xdr:to>
    <xdr:sp macro="" textlink="">
      <xdr:nvSpPr>
        <xdr:cNvPr id="14" name="Retângulo Arredondado 13">
          <a:hlinkClick xmlns:r="http://schemas.openxmlformats.org/officeDocument/2006/relationships" r:id="rId6"/>
        </xdr:cNvPr>
        <xdr:cNvSpPr/>
      </xdr:nvSpPr>
      <xdr:spPr>
        <a:xfrm>
          <a:off x="3020785" y="6362700"/>
          <a:ext cx="2442482" cy="375557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559253</xdr:colOff>
      <xdr:row>29</xdr:row>
      <xdr:rowOff>39461</xdr:rowOff>
    </xdr:from>
    <xdr:to>
      <xdr:col>2</xdr:col>
      <xdr:colOff>2224768</xdr:colOff>
      <xdr:row>30</xdr:row>
      <xdr:rowOff>83004</xdr:rowOff>
    </xdr:to>
    <xdr:sp macro="" textlink="">
      <xdr:nvSpPr>
        <xdr:cNvPr id="15" name="CaixaDeTexto 14">
          <a:hlinkClick xmlns:r="http://schemas.openxmlformats.org/officeDocument/2006/relationships" r:id="rId6"/>
        </xdr:cNvPr>
        <xdr:cNvSpPr txBox="1"/>
      </xdr:nvSpPr>
      <xdr:spPr>
        <a:xfrm>
          <a:off x="3559628" y="5830661"/>
          <a:ext cx="1665515" cy="2340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 baseline="0">
              <a:solidFill>
                <a:schemeClr val="bg1"/>
              </a:solidFill>
            </a:rPr>
            <a:t>PÁGINA ANTERIOR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2264752</xdr:colOff>
      <xdr:row>13</xdr:row>
      <xdr:rowOff>115766</xdr:rowOff>
    </xdr:from>
    <xdr:to>
      <xdr:col>3</xdr:col>
      <xdr:colOff>257175</xdr:colOff>
      <xdr:row>27</xdr:row>
      <xdr:rowOff>58616</xdr:rowOff>
    </xdr:to>
    <xdr:graphicFrame macro="">
      <xdr:nvGraphicFramePr>
        <xdr:cNvPr id="17" name="Gráfico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3067050</xdr:colOff>
      <xdr:row>13</xdr:row>
      <xdr:rowOff>57150</xdr:rowOff>
    </xdr:from>
    <xdr:to>
      <xdr:col>5</xdr:col>
      <xdr:colOff>9525</xdr:colOff>
      <xdr:row>27</xdr:row>
      <xdr:rowOff>0</xdr:rowOff>
    </xdr:to>
    <xdr:graphicFrame macro="">
      <xdr:nvGraphicFramePr>
        <xdr:cNvPr id="18" name="Gráfico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484713</xdr:colOff>
      <xdr:row>1</xdr:row>
      <xdr:rowOff>85135</xdr:rowOff>
    </xdr:from>
    <xdr:to>
      <xdr:col>0</xdr:col>
      <xdr:colOff>2218765</xdr:colOff>
      <xdr:row>9</xdr:row>
      <xdr:rowOff>96101</xdr:rowOff>
    </xdr:to>
    <xdr:grpSp>
      <xdr:nvGrpSpPr>
        <xdr:cNvPr id="2" name="Agrupar 1">
          <a:hlinkClick xmlns:r="http://schemas.openxmlformats.org/officeDocument/2006/relationships" r:id="rId1"/>
        </xdr:cNvPr>
        <xdr:cNvGrpSpPr/>
      </xdr:nvGrpSpPr>
      <xdr:grpSpPr>
        <a:xfrm>
          <a:off x="484713" y="275635"/>
          <a:ext cx="1734052" cy="1696891"/>
          <a:chOff x="484713" y="275635"/>
          <a:chExt cx="1734052" cy="1695648"/>
        </a:xfrm>
      </xdr:grpSpPr>
      <xdr:sp macro="" textlink="">
        <xdr:nvSpPr>
          <xdr:cNvPr id="3" name="CaixaDeTexto 2"/>
          <xdr:cNvSpPr txBox="1"/>
        </xdr:nvSpPr>
        <xdr:spPr>
          <a:xfrm>
            <a:off x="549088" y="283508"/>
            <a:ext cx="1669677" cy="46728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800" b="1" i="1">
                <a:solidFill>
                  <a:schemeClr val="bg1"/>
                </a:solidFill>
              </a:rPr>
              <a:t>I.R. FÁCIL</a:t>
            </a:r>
          </a:p>
        </xdr:txBody>
      </xdr:sp>
      <xdr:sp macro="" textlink="">
        <xdr:nvSpPr>
          <xdr:cNvPr id="4" name="Retângulo 3"/>
          <xdr:cNvSpPr/>
        </xdr:nvSpPr>
        <xdr:spPr>
          <a:xfrm>
            <a:off x="484713" y="275635"/>
            <a:ext cx="45719" cy="485775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solidFill>
              <a:schemeClr val="bg1">
                <a:lumMod val="9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5" name="Imagem 4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82706" y="728382"/>
            <a:ext cx="1263498" cy="1242901"/>
          </a:xfrm>
          <a:prstGeom prst="rect">
            <a:avLst/>
          </a:prstGeom>
        </xdr:spPr>
      </xdr:pic>
    </xdr:grpSp>
    <xdr:clientData/>
  </xdr:twoCellAnchor>
  <xdr:twoCellAnchor editAs="absolute">
    <xdr:from>
      <xdr:col>0</xdr:col>
      <xdr:colOff>215166</xdr:colOff>
      <xdr:row>22</xdr:row>
      <xdr:rowOff>23152</xdr:rowOff>
    </xdr:from>
    <xdr:to>
      <xdr:col>0</xdr:col>
      <xdr:colOff>2198607</xdr:colOff>
      <xdr:row>22</xdr:row>
      <xdr:rowOff>90387</xdr:rowOff>
    </xdr:to>
    <xdr:sp macro="" textlink="">
      <xdr:nvSpPr>
        <xdr:cNvPr id="6" name="Retângulo 5"/>
        <xdr:cNvSpPr/>
      </xdr:nvSpPr>
      <xdr:spPr>
        <a:xfrm>
          <a:off x="215166" y="4395127"/>
          <a:ext cx="1983441" cy="6723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282401</xdr:colOff>
      <xdr:row>22</xdr:row>
      <xdr:rowOff>168828</xdr:rowOff>
    </xdr:from>
    <xdr:to>
      <xdr:col>0</xdr:col>
      <xdr:colOff>2265841</xdr:colOff>
      <xdr:row>27</xdr:row>
      <xdr:rowOff>45564</xdr:rowOff>
    </xdr:to>
    <xdr:sp macro="" textlink="">
      <xdr:nvSpPr>
        <xdr:cNvPr id="7" name="CaixaDeTexto 6"/>
        <xdr:cNvSpPr txBox="1"/>
      </xdr:nvSpPr>
      <xdr:spPr>
        <a:xfrm>
          <a:off x="282401" y="4540803"/>
          <a:ext cx="1983440" cy="8292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1"/>
              </a:solidFill>
            </a:rPr>
            <a:t>DESENVOLVIDO PARA:</a:t>
          </a:r>
          <a:r>
            <a:rPr lang="pt-BR" sz="1100" baseline="0">
              <a:solidFill>
                <a:schemeClr val="bg1"/>
              </a:solidFill>
            </a:rPr>
            <a:t> </a:t>
          </a:r>
          <a:r>
            <a:rPr lang="pt-BR" sz="1100" i="1" baseline="0">
              <a:solidFill>
                <a:schemeClr val="bg1"/>
              </a:solidFill>
            </a:rPr>
            <a:t>"</a:t>
          </a:r>
          <a:r>
            <a:rPr lang="pt-BR" sz="1100" b="0" i="1" baseline="0">
              <a:solidFill>
                <a:schemeClr val="bg1"/>
              </a:solidFill>
            </a:rPr>
            <a:t>Santander Bootcamp - Excel com InteligÊncia Artificial - 2º Semestre</a:t>
          </a:r>
          <a:r>
            <a:rPr lang="pt-BR" sz="1100" i="1" baseline="0">
              <a:solidFill>
                <a:schemeClr val="bg1"/>
              </a:solidFill>
            </a:rPr>
            <a:t>"</a:t>
          </a:r>
          <a:endParaRPr lang="pt-BR" sz="1100" i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10885</xdr:colOff>
      <xdr:row>19</xdr:row>
      <xdr:rowOff>190500</xdr:rowOff>
    </xdr:from>
    <xdr:to>
      <xdr:col>4</xdr:col>
      <xdr:colOff>5442</xdr:colOff>
      <xdr:row>21</xdr:row>
      <xdr:rowOff>185057</xdr:rowOff>
    </xdr:to>
    <xdr:sp macro="" textlink="">
      <xdr:nvSpPr>
        <xdr:cNvPr id="8" name="Retângulo Arredondado 7">
          <a:hlinkClick xmlns:r="http://schemas.openxmlformats.org/officeDocument/2006/relationships" r:id="rId3"/>
        </xdr:cNvPr>
        <xdr:cNvSpPr/>
      </xdr:nvSpPr>
      <xdr:spPr>
        <a:xfrm>
          <a:off x="6287860" y="4029075"/>
          <a:ext cx="2442482" cy="375557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664028</xdr:colOff>
      <xdr:row>20</xdr:row>
      <xdr:rowOff>48986</xdr:rowOff>
    </xdr:from>
    <xdr:to>
      <xdr:col>3</xdr:col>
      <xdr:colOff>2329543</xdr:colOff>
      <xdr:row>21</xdr:row>
      <xdr:rowOff>92529</xdr:rowOff>
    </xdr:to>
    <xdr:sp macro="" textlink="">
      <xdr:nvSpPr>
        <xdr:cNvPr id="9" name="CaixaDeTexto 8">
          <a:hlinkClick xmlns:r="http://schemas.openxmlformats.org/officeDocument/2006/relationships" r:id="rId3"/>
        </xdr:cNvPr>
        <xdr:cNvSpPr txBox="1"/>
      </xdr:nvSpPr>
      <xdr:spPr>
        <a:xfrm>
          <a:off x="6941003" y="4078061"/>
          <a:ext cx="1665515" cy="2340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bg1"/>
              </a:solidFill>
            </a:rPr>
            <a:t>PRÓXIMA</a:t>
          </a:r>
          <a:r>
            <a:rPr lang="pt-BR" sz="1100" b="1" baseline="0">
              <a:solidFill>
                <a:schemeClr val="bg1"/>
              </a:solidFill>
            </a:rPr>
            <a:t> PÁGINA 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420415</xdr:colOff>
      <xdr:row>13</xdr:row>
      <xdr:rowOff>15622</xdr:rowOff>
    </xdr:from>
    <xdr:to>
      <xdr:col>0</xdr:col>
      <xdr:colOff>1918139</xdr:colOff>
      <xdr:row>15</xdr:row>
      <xdr:rowOff>4165</xdr:rowOff>
    </xdr:to>
    <xdr:sp macro="" textlink="">
      <xdr:nvSpPr>
        <xdr:cNvPr id="10" name="Retângulo 9">
          <a:hlinkClick xmlns:r="http://schemas.openxmlformats.org/officeDocument/2006/relationships" r:id="rId4"/>
        </xdr:cNvPr>
        <xdr:cNvSpPr/>
      </xdr:nvSpPr>
      <xdr:spPr>
        <a:xfrm>
          <a:off x="420415" y="2654047"/>
          <a:ext cx="1497724" cy="369543"/>
        </a:xfrm>
        <a:prstGeom prst="rect">
          <a:avLst/>
        </a:prstGeom>
        <a:solidFill>
          <a:srgbClr val="5B9AD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TÍTULAR</a:t>
          </a:r>
        </a:p>
      </xdr:txBody>
    </xdr:sp>
    <xdr:clientData/>
  </xdr:twoCellAnchor>
  <xdr:twoCellAnchor editAs="absolute">
    <xdr:from>
      <xdr:col>0</xdr:col>
      <xdr:colOff>426983</xdr:colOff>
      <xdr:row>16</xdr:row>
      <xdr:rowOff>9054</xdr:rowOff>
    </xdr:from>
    <xdr:to>
      <xdr:col>0</xdr:col>
      <xdr:colOff>1911569</xdr:colOff>
      <xdr:row>18</xdr:row>
      <xdr:rowOff>9054</xdr:rowOff>
    </xdr:to>
    <xdr:sp macro="" textlink="">
      <xdr:nvSpPr>
        <xdr:cNvPr id="11" name="Retângulo 10">
          <a:hlinkClick xmlns:r="http://schemas.openxmlformats.org/officeDocument/2006/relationships" r:id="rId3"/>
        </xdr:cNvPr>
        <xdr:cNvSpPr/>
      </xdr:nvSpPr>
      <xdr:spPr>
        <a:xfrm>
          <a:off x="426983" y="3218979"/>
          <a:ext cx="1484586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INFORME</a:t>
          </a:r>
          <a:endParaRPr lang="pt-BR" sz="2400" b="1" i="1"/>
        </a:p>
      </xdr:txBody>
    </xdr:sp>
    <xdr:clientData/>
  </xdr:twoCellAnchor>
  <xdr:twoCellAnchor editAs="absolute">
    <xdr:from>
      <xdr:col>0</xdr:col>
      <xdr:colOff>422711</xdr:colOff>
      <xdr:row>18</xdr:row>
      <xdr:rowOff>192347</xdr:rowOff>
    </xdr:from>
    <xdr:to>
      <xdr:col>0</xdr:col>
      <xdr:colOff>1905000</xdr:colOff>
      <xdr:row>20</xdr:row>
      <xdr:rowOff>170793</xdr:rowOff>
    </xdr:to>
    <xdr:sp macro="" textlink="">
      <xdr:nvSpPr>
        <xdr:cNvPr id="12" name="Retângulo 11">
          <a:hlinkClick xmlns:r="http://schemas.openxmlformats.org/officeDocument/2006/relationships" r:id="rId5"/>
        </xdr:cNvPr>
        <xdr:cNvSpPr/>
      </xdr:nvSpPr>
      <xdr:spPr>
        <a:xfrm>
          <a:off x="422711" y="3783272"/>
          <a:ext cx="1482289" cy="37849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NOTAS</a:t>
          </a:r>
        </a:p>
      </xdr:txBody>
    </xdr:sp>
    <xdr:clientData/>
  </xdr:twoCellAnchor>
  <xdr:twoCellAnchor editAs="absolute">
    <xdr:from>
      <xdr:col>0</xdr:col>
      <xdr:colOff>407276</xdr:colOff>
      <xdr:row>10</xdr:row>
      <xdr:rowOff>9125</xdr:rowOff>
    </xdr:from>
    <xdr:to>
      <xdr:col>0</xdr:col>
      <xdr:colOff>1924707</xdr:colOff>
      <xdr:row>11</xdr:row>
      <xdr:rowOff>189410</xdr:rowOff>
    </xdr:to>
    <xdr:sp macro="" textlink="">
      <xdr:nvSpPr>
        <xdr:cNvPr id="13" name="Retângulo 12">
          <a:hlinkClick xmlns:r="http://schemas.openxmlformats.org/officeDocument/2006/relationships" r:id="rId6"/>
        </xdr:cNvPr>
        <xdr:cNvSpPr/>
      </xdr:nvSpPr>
      <xdr:spPr>
        <a:xfrm>
          <a:off x="407276" y="2076050"/>
          <a:ext cx="1517431" cy="3707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RESUMO</a:t>
          </a:r>
        </a:p>
      </xdr:txBody>
    </xdr:sp>
    <xdr:clientData/>
  </xdr:twoCellAnchor>
  <xdr:twoCellAnchor>
    <xdr:from>
      <xdr:col>2</xdr:col>
      <xdr:colOff>20410</xdr:colOff>
      <xdr:row>19</xdr:row>
      <xdr:rowOff>180975</xdr:rowOff>
    </xdr:from>
    <xdr:to>
      <xdr:col>2</xdr:col>
      <xdr:colOff>2462892</xdr:colOff>
      <xdr:row>21</xdr:row>
      <xdr:rowOff>175532</xdr:rowOff>
    </xdr:to>
    <xdr:sp macro="" textlink="">
      <xdr:nvSpPr>
        <xdr:cNvPr id="14" name="Retângulo Arredondado 13">
          <a:hlinkClick xmlns:r="http://schemas.openxmlformats.org/officeDocument/2006/relationships" r:id="rId6"/>
        </xdr:cNvPr>
        <xdr:cNvSpPr/>
      </xdr:nvSpPr>
      <xdr:spPr>
        <a:xfrm>
          <a:off x="3020785" y="3971925"/>
          <a:ext cx="2442482" cy="385082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673553</xdr:colOff>
      <xdr:row>20</xdr:row>
      <xdr:rowOff>39461</xdr:rowOff>
    </xdr:from>
    <xdr:to>
      <xdr:col>2</xdr:col>
      <xdr:colOff>2339068</xdr:colOff>
      <xdr:row>21</xdr:row>
      <xdr:rowOff>83004</xdr:rowOff>
    </xdr:to>
    <xdr:sp macro="" textlink="">
      <xdr:nvSpPr>
        <xdr:cNvPr id="15" name="CaixaDeTexto 14">
          <a:hlinkClick xmlns:r="http://schemas.openxmlformats.org/officeDocument/2006/relationships" r:id="rId6"/>
        </xdr:cNvPr>
        <xdr:cNvSpPr txBox="1"/>
      </xdr:nvSpPr>
      <xdr:spPr>
        <a:xfrm>
          <a:off x="3673928" y="4030436"/>
          <a:ext cx="1665515" cy="2340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 baseline="0">
              <a:solidFill>
                <a:schemeClr val="bg1"/>
              </a:solidFill>
            </a:rPr>
            <a:t>PÁGINA ANTERIOR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484713</xdr:colOff>
      <xdr:row>1</xdr:row>
      <xdr:rowOff>85135</xdr:rowOff>
    </xdr:from>
    <xdr:to>
      <xdr:col>0</xdr:col>
      <xdr:colOff>2218765</xdr:colOff>
      <xdr:row>9</xdr:row>
      <xdr:rowOff>10376</xdr:rowOff>
    </xdr:to>
    <xdr:grpSp>
      <xdr:nvGrpSpPr>
        <xdr:cNvPr id="2" name="Agrupar 1">
          <a:hlinkClick xmlns:r="http://schemas.openxmlformats.org/officeDocument/2006/relationships" r:id="rId1"/>
        </xdr:cNvPr>
        <xdr:cNvGrpSpPr/>
      </xdr:nvGrpSpPr>
      <xdr:grpSpPr>
        <a:xfrm>
          <a:off x="484713" y="275635"/>
          <a:ext cx="1734052" cy="1696891"/>
          <a:chOff x="484713" y="275635"/>
          <a:chExt cx="1734052" cy="1695648"/>
        </a:xfrm>
      </xdr:grpSpPr>
      <xdr:sp macro="" textlink="">
        <xdr:nvSpPr>
          <xdr:cNvPr id="3" name="CaixaDeTexto 2"/>
          <xdr:cNvSpPr txBox="1"/>
        </xdr:nvSpPr>
        <xdr:spPr>
          <a:xfrm>
            <a:off x="549088" y="283508"/>
            <a:ext cx="1669677" cy="46728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800" b="1" i="1">
                <a:solidFill>
                  <a:schemeClr val="bg1"/>
                </a:solidFill>
              </a:rPr>
              <a:t>I.R. FÁCIL</a:t>
            </a:r>
          </a:p>
        </xdr:txBody>
      </xdr:sp>
      <xdr:sp macro="" textlink="">
        <xdr:nvSpPr>
          <xdr:cNvPr id="4" name="Retângulo 3"/>
          <xdr:cNvSpPr/>
        </xdr:nvSpPr>
        <xdr:spPr>
          <a:xfrm>
            <a:off x="484713" y="275635"/>
            <a:ext cx="45719" cy="485775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solidFill>
              <a:schemeClr val="bg1">
                <a:lumMod val="9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5" name="Imagem 4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82706" y="728382"/>
            <a:ext cx="1263498" cy="1242901"/>
          </a:xfrm>
          <a:prstGeom prst="rect">
            <a:avLst/>
          </a:prstGeom>
        </xdr:spPr>
      </xdr:pic>
    </xdr:grpSp>
    <xdr:clientData/>
  </xdr:twoCellAnchor>
  <xdr:twoCellAnchor editAs="absolute">
    <xdr:from>
      <xdr:col>0</xdr:col>
      <xdr:colOff>215166</xdr:colOff>
      <xdr:row>21</xdr:row>
      <xdr:rowOff>90155</xdr:rowOff>
    </xdr:from>
    <xdr:to>
      <xdr:col>0</xdr:col>
      <xdr:colOff>2198607</xdr:colOff>
      <xdr:row>21</xdr:row>
      <xdr:rowOff>154434</xdr:rowOff>
    </xdr:to>
    <xdr:sp macro="" textlink="">
      <xdr:nvSpPr>
        <xdr:cNvPr id="6" name="Retângulo 5"/>
        <xdr:cNvSpPr/>
      </xdr:nvSpPr>
      <xdr:spPr>
        <a:xfrm>
          <a:off x="215166" y="4395127"/>
          <a:ext cx="1983441" cy="6723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282401</xdr:colOff>
      <xdr:row>22</xdr:row>
      <xdr:rowOff>35807</xdr:rowOff>
    </xdr:from>
    <xdr:to>
      <xdr:col>0</xdr:col>
      <xdr:colOff>2265841</xdr:colOff>
      <xdr:row>26</xdr:row>
      <xdr:rowOff>74468</xdr:rowOff>
    </xdr:to>
    <xdr:sp macro="" textlink="">
      <xdr:nvSpPr>
        <xdr:cNvPr id="7" name="CaixaDeTexto 6"/>
        <xdr:cNvSpPr txBox="1"/>
      </xdr:nvSpPr>
      <xdr:spPr>
        <a:xfrm>
          <a:off x="282401" y="4540803"/>
          <a:ext cx="1983440" cy="8292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1"/>
              </a:solidFill>
            </a:rPr>
            <a:t>DESENVOLVIDO PARA:</a:t>
          </a:r>
          <a:r>
            <a:rPr lang="pt-BR" sz="1100" baseline="0">
              <a:solidFill>
                <a:schemeClr val="bg1"/>
              </a:solidFill>
            </a:rPr>
            <a:t> </a:t>
          </a:r>
          <a:r>
            <a:rPr lang="pt-BR" sz="1100" i="1" baseline="0">
              <a:solidFill>
                <a:schemeClr val="bg1"/>
              </a:solidFill>
            </a:rPr>
            <a:t>"</a:t>
          </a:r>
          <a:r>
            <a:rPr lang="pt-BR" sz="1100" b="0" i="1" baseline="0">
              <a:solidFill>
                <a:schemeClr val="bg1"/>
              </a:solidFill>
            </a:rPr>
            <a:t>Santander Bootcamp - Excel com InteligÊncia Artificial - 2º Semestre</a:t>
          </a:r>
          <a:r>
            <a:rPr lang="pt-BR" sz="1100" i="1" baseline="0">
              <a:solidFill>
                <a:schemeClr val="bg1"/>
              </a:solidFill>
            </a:rPr>
            <a:t>"</a:t>
          </a:r>
          <a:endParaRPr lang="pt-BR" sz="1100" i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1360</xdr:colOff>
      <xdr:row>26</xdr:row>
      <xdr:rowOff>0</xdr:rowOff>
    </xdr:from>
    <xdr:to>
      <xdr:col>3</xdr:col>
      <xdr:colOff>2443842</xdr:colOff>
      <xdr:row>28</xdr:row>
      <xdr:rowOff>13607</xdr:rowOff>
    </xdr:to>
    <xdr:sp macro="" textlink="">
      <xdr:nvSpPr>
        <xdr:cNvPr id="8" name="Retângulo Arredondado 7">
          <a:hlinkClick xmlns:r="http://schemas.openxmlformats.org/officeDocument/2006/relationships" r:id="rId3"/>
        </xdr:cNvPr>
        <xdr:cNvSpPr/>
      </xdr:nvSpPr>
      <xdr:spPr>
        <a:xfrm>
          <a:off x="6278335" y="4933950"/>
          <a:ext cx="2442482" cy="394607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654503</xdr:colOff>
      <xdr:row>26</xdr:row>
      <xdr:rowOff>58511</xdr:rowOff>
    </xdr:from>
    <xdr:to>
      <xdr:col>3</xdr:col>
      <xdr:colOff>2320018</xdr:colOff>
      <xdr:row>27</xdr:row>
      <xdr:rowOff>111579</xdr:rowOff>
    </xdr:to>
    <xdr:sp macro="" textlink="">
      <xdr:nvSpPr>
        <xdr:cNvPr id="9" name="CaixaDeTexto 8">
          <a:hlinkClick xmlns:r="http://schemas.openxmlformats.org/officeDocument/2006/relationships" r:id="rId3"/>
        </xdr:cNvPr>
        <xdr:cNvSpPr txBox="1"/>
      </xdr:nvSpPr>
      <xdr:spPr>
        <a:xfrm>
          <a:off x="6931478" y="4992461"/>
          <a:ext cx="1665515" cy="2435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bg1"/>
              </a:solidFill>
            </a:rPr>
            <a:t>PRÓXIMA</a:t>
          </a:r>
          <a:r>
            <a:rPr lang="pt-BR" sz="1100" b="1" baseline="0">
              <a:solidFill>
                <a:schemeClr val="bg1"/>
              </a:solidFill>
            </a:rPr>
            <a:t> PÁGINA 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420415</xdr:colOff>
      <xdr:row>12</xdr:row>
      <xdr:rowOff>127294</xdr:rowOff>
    </xdr:from>
    <xdr:to>
      <xdr:col>0</xdr:col>
      <xdr:colOff>1918139</xdr:colOff>
      <xdr:row>14</xdr:row>
      <xdr:rowOff>109268</xdr:rowOff>
    </xdr:to>
    <xdr:sp macro="" textlink="">
      <xdr:nvSpPr>
        <xdr:cNvPr id="10" name="Retângulo 9">
          <a:hlinkClick xmlns:r="http://schemas.openxmlformats.org/officeDocument/2006/relationships" r:id="rId4"/>
        </xdr:cNvPr>
        <xdr:cNvSpPr/>
      </xdr:nvSpPr>
      <xdr:spPr>
        <a:xfrm>
          <a:off x="420415" y="2654047"/>
          <a:ext cx="1497724" cy="3695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TÍTULAR</a:t>
          </a:r>
        </a:p>
      </xdr:txBody>
    </xdr:sp>
    <xdr:clientData/>
  </xdr:twoCellAnchor>
  <xdr:twoCellAnchor editAs="absolute">
    <xdr:from>
      <xdr:col>0</xdr:col>
      <xdr:colOff>426983</xdr:colOff>
      <xdr:row>15</xdr:row>
      <xdr:rowOff>104632</xdr:rowOff>
    </xdr:from>
    <xdr:to>
      <xdr:col>0</xdr:col>
      <xdr:colOff>1911569</xdr:colOff>
      <xdr:row>17</xdr:row>
      <xdr:rowOff>85582</xdr:rowOff>
    </xdr:to>
    <xdr:sp macro="" textlink="">
      <xdr:nvSpPr>
        <xdr:cNvPr id="11" name="Retângulo 10">
          <a:hlinkClick xmlns:r="http://schemas.openxmlformats.org/officeDocument/2006/relationships" r:id="rId5"/>
        </xdr:cNvPr>
        <xdr:cNvSpPr/>
      </xdr:nvSpPr>
      <xdr:spPr>
        <a:xfrm>
          <a:off x="426983" y="3218979"/>
          <a:ext cx="1484586" cy="381000"/>
        </a:xfrm>
        <a:prstGeom prst="rect">
          <a:avLst/>
        </a:prstGeom>
        <a:solidFill>
          <a:srgbClr val="5B9AD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INFORME</a:t>
          </a:r>
          <a:endParaRPr lang="pt-BR" sz="2400" b="1" i="1"/>
        </a:p>
      </xdr:txBody>
    </xdr:sp>
    <xdr:clientData/>
  </xdr:twoCellAnchor>
  <xdr:twoCellAnchor editAs="absolute">
    <xdr:from>
      <xdr:col>0</xdr:col>
      <xdr:colOff>422711</xdr:colOff>
      <xdr:row>18</xdr:row>
      <xdr:rowOff>68850</xdr:rowOff>
    </xdr:from>
    <xdr:to>
      <xdr:col>0</xdr:col>
      <xdr:colOff>1905000</xdr:colOff>
      <xdr:row>20</xdr:row>
      <xdr:rowOff>56821</xdr:rowOff>
    </xdr:to>
    <xdr:sp macro="" textlink="">
      <xdr:nvSpPr>
        <xdr:cNvPr id="12" name="Retângulo 11">
          <a:hlinkClick xmlns:r="http://schemas.openxmlformats.org/officeDocument/2006/relationships" r:id="rId3"/>
        </xdr:cNvPr>
        <xdr:cNvSpPr/>
      </xdr:nvSpPr>
      <xdr:spPr>
        <a:xfrm>
          <a:off x="422711" y="3783272"/>
          <a:ext cx="1482289" cy="37849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NOTAS</a:t>
          </a:r>
        </a:p>
      </xdr:txBody>
    </xdr:sp>
    <xdr:clientData/>
  </xdr:twoCellAnchor>
  <xdr:twoCellAnchor editAs="absolute">
    <xdr:from>
      <xdr:col>0</xdr:col>
      <xdr:colOff>407276</xdr:colOff>
      <xdr:row>9</xdr:row>
      <xdr:rowOff>113900</xdr:rowOff>
    </xdr:from>
    <xdr:to>
      <xdr:col>0</xdr:col>
      <xdr:colOff>1924707</xdr:colOff>
      <xdr:row>11</xdr:row>
      <xdr:rowOff>120107</xdr:rowOff>
    </xdr:to>
    <xdr:sp macro="" textlink="">
      <xdr:nvSpPr>
        <xdr:cNvPr id="13" name="Retângulo 12">
          <a:hlinkClick xmlns:r="http://schemas.openxmlformats.org/officeDocument/2006/relationships" r:id="rId4"/>
        </xdr:cNvPr>
        <xdr:cNvSpPr/>
      </xdr:nvSpPr>
      <xdr:spPr>
        <a:xfrm>
          <a:off x="407276" y="2076050"/>
          <a:ext cx="1517431" cy="3707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RESUMO</a:t>
          </a:r>
        </a:p>
      </xdr:txBody>
    </xdr:sp>
    <xdr:clientData/>
  </xdr:twoCellAnchor>
  <xdr:twoCellAnchor>
    <xdr:from>
      <xdr:col>2</xdr:col>
      <xdr:colOff>10885</xdr:colOff>
      <xdr:row>25</xdr:row>
      <xdr:rowOff>190500</xdr:rowOff>
    </xdr:from>
    <xdr:to>
      <xdr:col>2</xdr:col>
      <xdr:colOff>2453367</xdr:colOff>
      <xdr:row>28</xdr:row>
      <xdr:rowOff>4082</xdr:rowOff>
    </xdr:to>
    <xdr:sp macro="" textlink="">
      <xdr:nvSpPr>
        <xdr:cNvPr id="14" name="Retângulo Arredondado 13">
          <a:hlinkClick xmlns:r="http://schemas.openxmlformats.org/officeDocument/2006/relationships" r:id="rId4"/>
        </xdr:cNvPr>
        <xdr:cNvSpPr/>
      </xdr:nvSpPr>
      <xdr:spPr>
        <a:xfrm>
          <a:off x="3011260" y="4924425"/>
          <a:ext cx="2442482" cy="394607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664028</xdr:colOff>
      <xdr:row>26</xdr:row>
      <xdr:rowOff>48986</xdr:rowOff>
    </xdr:from>
    <xdr:to>
      <xdr:col>2</xdr:col>
      <xdr:colOff>2329543</xdr:colOff>
      <xdr:row>27</xdr:row>
      <xdr:rowOff>102054</xdr:rowOff>
    </xdr:to>
    <xdr:sp macro="" textlink="">
      <xdr:nvSpPr>
        <xdr:cNvPr id="15" name="CaixaDeTexto 14">
          <a:hlinkClick xmlns:r="http://schemas.openxmlformats.org/officeDocument/2006/relationships" r:id="rId4"/>
        </xdr:cNvPr>
        <xdr:cNvSpPr txBox="1"/>
      </xdr:nvSpPr>
      <xdr:spPr>
        <a:xfrm>
          <a:off x="3664403" y="4982936"/>
          <a:ext cx="1665515" cy="2435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 baseline="0">
              <a:solidFill>
                <a:schemeClr val="bg1"/>
              </a:solidFill>
            </a:rPr>
            <a:t>PÁGINA ANTERIOR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484713</xdr:colOff>
      <xdr:row>1</xdr:row>
      <xdr:rowOff>85135</xdr:rowOff>
    </xdr:from>
    <xdr:to>
      <xdr:col>0</xdr:col>
      <xdr:colOff>2218765</xdr:colOff>
      <xdr:row>9</xdr:row>
      <xdr:rowOff>14298</xdr:rowOff>
    </xdr:to>
    <xdr:grpSp>
      <xdr:nvGrpSpPr>
        <xdr:cNvPr id="2" name="Agrupar 1">
          <a:hlinkClick xmlns:r="http://schemas.openxmlformats.org/officeDocument/2006/relationships" r:id="rId1"/>
        </xdr:cNvPr>
        <xdr:cNvGrpSpPr/>
      </xdr:nvGrpSpPr>
      <xdr:grpSpPr>
        <a:xfrm>
          <a:off x="484713" y="275635"/>
          <a:ext cx="1734052" cy="1691288"/>
          <a:chOff x="484713" y="275635"/>
          <a:chExt cx="1734052" cy="1695648"/>
        </a:xfrm>
      </xdr:grpSpPr>
      <xdr:sp macro="" textlink="">
        <xdr:nvSpPr>
          <xdr:cNvPr id="3" name="CaixaDeTexto 2"/>
          <xdr:cNvSpPr txBox="1"/>
        </xdr:nvSpPr>
        <xdr:spPr>
          <a:xfrm>
            <a:off x="549088" y="283508"/>
            <a:ext cx="1669677" cy="46728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800" b="1" i="1">
                <a:solidFill>
                  <a:schemeClr val="bg1"/>
                </a:solidFill>
              </a:rPr>
              <a:t>I.R. FÁCIL</a:t>
            </a:r>
          </a:p>
        </xdr:txBody>
      </xdr:sp>
      <xdr:sp macro="" textlink="">
        <xdr:nvSpPr>
          <xdr:cNvPr id="4" name="Retângulo 3"/>
          <xdr:cNvSpPr/>
        </xdr:nvSpPr>
        <xdr:spPr>
          <a:xfrm>
            <a:off x="484713" y="275635"/>
            <a:ext cx="45719" cy="485775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solidFill>
              <a:schemeClr val="bg1">
                <a:lumMod val="9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5" name="Imagem 4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82706" y="728382"/>
            <a:ext cx="1263498" cy="1242901"/>
          </a:xfrm>
          <a:prstGeom prst="rect">
            <a:avLst/>
          </a:prstGeom>
        </xdr:spPr>
      </xdr:pic>
    </xdr:grpSp>
    <xdr:clientData/>
  </xdr:twoCellAnchor>
  <xdr:twoCellAnchor editAs="absolute">
    <xdr:from>
      <xdr:col>0</xdr:col>
      <xdr:colOff>215166</xdr:colOff>
      <xdr:row>21</xdr:row>
      <xdr:rowOff>65735</xdr:rowOff>
    </xdr:from>
    <xdr:to>
      <xdr:col>0</xdr:col>
      <xdr:colOff>2198607</xdr:colOff>
      <xdr:row>21</xdr:row>
      <xdr:rowOff>132970</xdr:rowOff>
    </xdr:to>
    <xdr:sp macro="" textlink="">
      <xdr:nvSpPr>
        <xdr:cNvPr id="6" name="Retângulo 5"/>
        <xdr:cNvSpPr/>
      </xdr:nvSpPr>
      <xdr:spPr>
        <a:xfrm>
          <a:off x="215166" y="4395127"/>
          <a:ext cx="1983441" cy="6723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282401</xdr:colOff>
      <xdr:row>22</xdr:row>
      <xdr:rowOff>20911</xdr:rowOff>
    </xdr:from>
    <xdr:to>
      <xdr:col>0</xdr:col>
      <xdr:colOff>2265841</xdr:colOff>
      <xdr:row>26</xdr:row>
      <xdr:rowOff>88147</xdr:rowOff>
    </xdr:to>
    <xdr:sp macro="" textlink="">
      <xdr:nvSpPr>
        <xdr:cNvPr id="7" name="CaixaDeTexto 6"/>
        <xdr:cNvSpPr txBox="1"/>
      </xdr:nvSpPr>
      <xdr:spPr>
        <a:xfrm>
          <a:off x="282401" y="4540803"/>
          <a:ext cx="1983440" cy="8292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1"/>
              </a:solidFill>
            </a:rPr>
            <a:t>DESENVOLVIDO PARA:</a:t>
          </a:r>
          <a:r>
            <a:rPr lang="pt-BR" sz="1100" baseline="0">
              <a:solidFill>
                <a:schemeClr val="bg1"/>
              </a:solidFill>
            </a:rPr>
            <a:t> </a:t>
          </a:r>
          <a:r>
            <a:rPr lang="pt-BR" sz="1100" i="1" baseline="0">
              <a:solidFill>
                <a:schemeClr val="bg1"/>
              </a:solidFill>
            </a:rPr>
            <a:t>"</a:t>
          </a:r>
          <a:r>
            <a:rPr lang="pt-BR" sz="1100" b="0" i="1" baseline="0">
              <a:solidFill>
                <a:schemeClr val="bg1"/>
              </a:solidFill>
            </a:rPr>
            <a:t>Santander Bootcamp - Excel com InteligÊncia Artificial - 2º Semestre</a:t>
          </a:r>
          <a:r>
            <a:rPr lang="pt-BR" sz="1100" i="1" baseline="0">
              <a:solidFill>
                <a:schemeClr val="bg1"/>
              </a:solidFill>
            </a:rPr>
            <a:t>"</a:t>
          </a:r>
          <a:endParaRPr lang="pt-BR" sz="1100" i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420415</xdr:colOff>
      <xdr:row>12</xdr:row>
      <xdr:rowOff>40275</xdr:rowOff>
    </xdr:from>
    <xdr:to>
      <xdr:col>0</xdr:col>
      <xdr:colOff>1918139</xdr:colOff>
      <xdr:row>14</xdr:row>
      <xdr:rowOff>27698</xdr:rowOff>
    </xdr:to>
    <xdr:sp macro="" textlink="">
      <xdr:nvSpPr>
        <xdr:cNvPr id="10" name="Retângulo 9">
          <a:hlinkClick xmlns:r="http://schemas.openxmlformats.org/officeDocument/2006/relationships" r:id="rId3"/>
        </xdr:cNvPr>
        <xdr:cNvSpPr/>
      </xdr:nvSpPr>
      <xdr:spPr>
        <a:xfrm>
          <a:off x="420415" y="2654047"/>
          <a:ext cx="1497724" cy="3695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TÍTULAR</a:t>
          </a:r>
        </a:p>
      </xdr:txBody>
    </xdr:sp>
    <xdr:clientData/>
  </xdr:twoCellAnchor>
  <xdr:twoCellAnchor editAs="absolute">
    <xdr:from>
      <xdr:col>0</xdr:col>
      <xdr:colOff>426983</xdr:colOff>
      <xdr:row>15</xdr:row>
      <xdr:rowOff>32587</xdr:rowOff>
    </xdr:from>
    <xdr:to>
      <xdr:col>0</xdr:col>
      <xdr:colOff>1911569</xdr:colOff>
      <xdr:row>17</xdr:row>
      <xdr:rowOff>32587</xdr:rowOff>
    </xdr:to>
    <xdr:sp macro="" textlink="">
      <xdr:nvSpPr>
        <xdr:cNvPr id="11" name="Retângulo 10">
          <a:hlinkClick xmlns:r="http://schemas.openxmlformats.org/officeDocument/2006/relationships" r:id="rId4"/>
        </xdr:cNvPr>
        <xdr:cNvSpPr/>
      </xdr:nvSpPr>
      <xdr:spPr>
        <a:xfrm>
          <a:off x="426983" y="3218979"/>
          <a:ext cx="1484586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INFORME</a:t>
          </a:r>
          <a:endParaRPr lang="pt-BR" sz="2400" b="1" i="1"/>
        </a:p>
      </xdr:txBody>
    </xdr:sp>
    <xdr:clientData/>
  </xdr:twoCellAnchor>
  <xdr:twoCellAnchor editAs="absolute">
    <xdr:from>
      <xdr:col>0</xdr:col>
      <xdr:colOff>422711</xdr:colOff>
      <xdr:row>18</xdr:row>
      <xdr:rowOff>25380</xdr:rowOff>
    </xdr:from>
    <xdr:to>
      <xdr:col>0</xdr:col>
      <xdr:colOff>1905000</xdr:colOff>
      <xdr:row>20</xdr:row>
      <xdr:rowOff>22876</xdr:rowOff>
    </xdr:to>
    <xdr:sp macro="" textlink="">
      <xdr:nvSpPr>
        <xdr:cNvPr id="12" name="Retângulo 11">
          <a:hlinkClick xmlns:r="http://schemas.openxmlformats.org/officeDocument/2006/relationships" r:id="rId5"/>
        </xdr:cNvPr>
        <xdr:cNvSpPr/>
      </xdr:nvSpPr>
      <xdr:spPr>
        <a:xfrm>
          <a:off x="422711" y="3783272"/>
          <a:ext cx="1482289" cy="378496"/>
        </a:xfrm>
        <a:prstGeom prst="rect">
          <a:avLst/>
        </a:prstGeom>
        <a:solidFill>
          <a:srgbClr val="5B9AD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NOTAS</a:t>
          </a:r>
        </a:p>
      </xdr:txBody>
    </xdr:sp>
    <xdr:clientData/>
  </xdr:twoCellAnchor>
  <xdr:twoCellAnchor editAs="absolute">
    <xdr:from>
      <xdr:col>0</xdr:col>
      <xdr:colOff>407276</xdr:colOff>
      <xdr:row>9</xdr:row>
      <xdr:rowOff>119503</xdr:rowOff>
    </xdr:from>
    <xdr:to>
      <xdr:col>0</xdr:col>
      <xdr:colOff>1924707</xdr:colOff>
      <xdr:row>11</xdr:row>
      <xdr:rowOff>31407</xdr:rowOff>
    </xdr:to>
    <xdr:sp macro="" textlink="">
      <xdr:nvSpPr>
        <xdr:cNvPr id="13" name="Retângulo 12">
          <a:hlinkClick xmlns:r="http://schemas.openxmlformats.org/officeDocument/2006/relationships" r:id="rId3"/>
        </xdr:cNvPr>
        <xdr:cNvSpPr/>
      </xdr:nvSpPr>
      <xdr:spPr>
        <a:xfrm>
          <a:off x="407276" y="2076050"/>
          <a:ext cx="1517431" cy="3707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RESUMO</a:t>
          </a:r>
        </a:p>
      </xdr:txBody>
    </xdr:sp>
    <xdr:clientData/>
  </xdr:twoCellAnchor>
  <xdr:twoCellAnchor>
    <xdr:from>
      <xdr:col>2</xdr:col>
      <xdr:colOff>10886</xdr:colOff>
      <xdr:row>6</xdr:row>
      <xdr:rowOff>108857</xdr:rowOff>
    </xdr:from>
    <xdr:to>
      <xdr:col>2</xdr:col>
      <xdr:colOff>2389414</xdr:colOff>
      <xdr:row>8</xdr:row>
      <xdr:rowOff>108857</xdr:rowOff>
    </xdr:to>
    <xdr:sp macro="" textlink="">
      <xdr:nvSpPr>
        <xdr:cNvPr id="16" name="Retângulo Arredondado 15">
          <a:hlinkClick xmlns:r="http://schemas.openxmlformats.org/officeDocument/2006/relationships" r:id="rId4"/>
        </xdr:cNvPr>
        <xdr:cNvSpPr/>
      </xdr:nvSpPr>
      <xdr:spPr>
        <a:xfrm>
          <a:off x="3009900" y="1404257"/>
          <a:ext cx="2378528" cy="413657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584944</xdr:colOff>
      <xdr:row>6</xdr:row>
      <xdr:rowOff>165007</xdr:rowOff>
    </xdr:from>
    <xdr:to>
      <xdr:col>2</xdr:col>
      <xdr:colOff>1953586</xdr:colOff>
      <xdr:row>7</xdr:row>
      <xdr:rowOff>197344</xdr:rowOff>
    </xdr:to>
    <xdr:sp macro="" textlink="">
      <xdr:nvSpPr>
        <xdr:cNvPr id="17" name="CaixaDeTexto 16">
          <a:hlinkClick xmlns:r="http://schemas.openxmlformats.org/officeDocument/2006/relationships" r:id="rId4"/>
        </xdr:cNvPr>
        <xdr:cNvSpPr txBox="1"/>
      </xdr:nvSpPr>
      <xdr:spPr>
        <a:xfrm>
          <a:off x="3583958" y="1460407"/>
          <a:ext cx="1368642" cy="2446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 baseline="0">
              <a:solidFill>
                <a:schemeClr val="bg1"/>
              </a:solidFill>
            </a:rPr>
            <a:t>PÁGINA ANTERIOR 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3" name="Tabela24" displayName="Tabela24" ref="C12:G53" totalsRowShown="0" headerRowDxfId="6" headerRowBorderDxfId="5" tableBorderDxfId="4">
  <tableColumns count="5">
    <tableColumn id="1" name="DATA" dataDxfId="1" dataCellStyle="Nota"/>
    <tableColumn id="2" name="ORIGEM" dataDxfId="2" dataCellStyle="Entrada"/>
    <tableColumn id="5" name="BANCO" dataCellStyle="Entrada"/>
    <tableColumn id="3" name="VALOR" dataDxfId="0" dataCellStyle="Nota"/>
    <tableColumn id="6" name="Valor Estimado Imposto" dataDxfId="3">
      <calculatedColumnFormula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mailto:XXXXX@E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6"/>
  <dimension ref="A1:I83"/>
  <sheetViews>
    <sheetView showGridLines="0" showRowColHeaders="0" tabSelected="1" topLeftCell="A5" zoomScaleNormal="100" workbookViewId="0">
      <selection activeCell="A24" sqref="A24"/>
    </sheetView>
  </sheetViews>
  <sheetFormatPr defaultRowHeight="15" x14ac:dyDescent="0.25"/>
  <cols>
    <col min="1" max="1" width="35.85546875" style="56" customWidth="1"/>
    <col min="2" max="2" width="12.28515625" style="56" customWidth="1"/>
    <col min="3" max="3" width="49.140625" style="56" customWidth="1"/>
    <col min="4" max="4" width="36.7109375" style="56" customWidth="1"/>
    <col min="5" max="5" width="75.140625" style="56" customWidth="1"/>
    <col min="6" max="8" width="9.140625" style="56"/>
    <col min="9" max="9" width="75" style="56" customWidth="1"/>
    <col min="10" max="16384" width="9.140625" style="8"/>
  </cols>
  <sheetData>
    <row r="1" spans="1:9" x14ac:dyDescent="0.25">
      <c r="A1" s="7"/>
      <c r="B1" s="7"/>
      <c r="C1" s="7"/>
      <c r="D1" s="7"/>
      <c r="E1" s="7"/>
      <c r="F1" s="7"/>
      <c r="G1" s="7"/>
      <c r="H1" s="7"/>
      <c r="I1" s="7"/>
    </row>
    <row r="2" spans="1:9" x14ac:dyDescent="0.25">
      <c r="A2" s="7"/>
      <c r="B2" s="7"/>
      <c r="C2" s="7"/>
      <c r="D2" s="7"/>
      <c r="E2" s="7"/>
      <c r="F2" s="7"/>
      <c r="G2" s="7"/>
      <c r="H2" s="7"/>
      <c r="I2" s="7"/>
    </row>
    <row r="3" spans="1:9" x14ac:dyDescent="0.25">
      <c r="A3" s="7"/>
      <c r="B3" s="7"/>
      <c r="C3" s="7"/>
      <c r="D3" s="7"/>
      <c r="E3" s="7"/>
      <c r="F3" s="7"/>
      <c r="G3" s="7"/>
      <c r="H3" s="7"/>
      <c r="I3" s="7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21" customHeight="1" x14ac:dyDescent="0.25">
      <c r="A5" s="7"/>
      <c r="B5" s="7"/>
      <c r="C5" s="7"/>
      <c r="D5" s="7"/>
      <c r="E5" s="7"/>
      <c r="F5" s="7"/>
      <c r="G5" s="7"/>
      <c r="H5" s="7"/>
      <c r="I5" s="7"/>
    </row>
    <row r="6" spans="1:9" x14ac:dyDescent="0.25">
      <c r="A6" s="7"/>
      <c r="B6" s="7"/>
      <c r="C6" s="7"/>
      <c r="D6" s="7"/>
      <c r="E6" s="7"/>
      <c r="F6" s="7"/>
      <c r="G6" s="7"/>
      <c r="H6" s="7"/>
      <c r="I6" s="7"/>
    </row>
    <row r="7" spans="1:9" x14ac:dyDescent="0.25">
      <c r="A7" s="7"/>
      <c r="B7" s="7"/>
      <c r="C7" s="7"/>
      <c r="D7" s="7"/>
      <c r="E7" s="7"/>
      <c r="F7" s="7"/>
      <c r="G7" s="7"/>
      <c r="H7" s="7"/>
      <c r="I7" s="7"/>
    </row>
    <row r="8" spans="1:9" x14ac:dyDescent="0.25">
      <c r="A8" s="7"/>
      <c r="B8" s="7"/>
      <c r="C8" s="7"/>
      <c r="D8" s="7"/>
      <c r="E8" s="7"/>
      <c r="F8" s="7"/>
      <c r="G8" s="7"/>
      <c r="H8" s="7"/>
      <c r="I8" s="7"/>
    </row>
    <row r="9" spans="1:9" x14ac:dyDescent="0.25">
      <c r="A9" s="7"/>
      <c r="B9" s="7"/>
      <c r="C9" s="7"/>
      <c r="D9" s="7"/>
      <c r="E9" s="7"/>
      <c r="F9" s="7"/>
      <c r="G9" s="7"/>
      <c r="H9" s="7"/>
      <c r="I9" s="7"/>
    </row>
    <row r="10" spans="1:9" x14ac:dyDescent="0.25">
      <c r="A10" s="7"/>
      <c r="B10" s="7"/>
      <c r="C10" s="7"/>
      <c r="D10" s="7"/>
      <c r="E10" s="7"/>
      <c r="F10" s="7"/>
      <c r="G10" s="7"/>
      <c r="H10" s="7"/>
      <c r="I10" s="7"/>
    </row>
    <row r="11" spans="1:9" x14ac:dyDescent="0.25">
      <c r="A11" s="7"/>
      <c r="B11" s="7"/>
      <c r="C11" s="7"/>
      <c r="D11" s="7"/>
      <c r="E11" s="7"/>
      <c r="F11" s="7"/>
      <c r="G11" s="7"/>
      <c r="H11" s="7"/>
      <c r="I11" s="7"/>
    </row>
    <row r="12" spans="1:9" x14ac:dyDescent="0.25">
      <c r="A12" s="7"/>
      <c r="B12" s="7"/>
      <c r="C12" s="7"/>
      <c r="D12" s="7"/>
      <c r="E12" s="7"/>
      <c r="F12" s="7"/>
      <c r="G12" s="7"/>
      <c r="H12" s="7"/>
      <c r="I12" s="7"/>
    </row>
    <row r="13" spans="1:9" x14ac:dyDescent="0.25">
      <c r="A13" s="7"/>
      <c r="B13" s="7"/>
      <c r="C13" s="7"/>
      <c r="D13" s="7"/>
      <c r="E13" s="7"/>
      <c r="F13" s="7"/>
      <c r="G13" s="7"/>
      <c r="H13" s="7"/>
      <c r="I13" s="7"/>
    </row>
    <row r="14" spans="1:9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  <row r="23" spans="1:9" x14ac:dyDescent="0.25">
      <c r="A23" s="7"/>
      <c r="B23" s="7"/>
      <c r="C23" s="7"/>
      <c r="D23" s="7"/>
      <c r="E23" s="7"/>
      <c r="F23" s="7"/>
      <c r="G23" s="7"/>
      <c r="H23" s="7"/>
      <c r="I23" s="7"/>
    </row>
    <row r="24" spans="1:9" x14ac:dyDescent="0.25">
      <c r="A24" s="7"/>
      <c r="B24" s="7"/>
      <c r="C24" s="7"/>
      <c r="D24" s="7"/>
      <c r="E24" s="7"/>
      <c r="F24" s="7"/>
      <c r="G24" s="7"/>
      <c r="H24" s="7"/>
      <c r="I24" s="7"/>
    </row>
    <row r="25" spans="1:9" x14ac:dyDescent="0.25">
      <c r="A25" s="7"/>
      <c r="B25" s="7"/>
      <c r="C25" s="7"/>
      <c r="D25" s="7"/>
      <c r="E25" s="7"/>
      <c r="F25" s="7"/>
      <c r="G25" s="7"/>
      <c r="H25" s="7"/>
      <c r="I25" s="7"/>
    </row>
    <row r="26" spans="1:9" x14ac:dyDescent="0.25">
      <c r="A26" s="7"/>
      <c r="B26" s="7"/>
      <c r="C26" s="7"/>
      <c r="D26" s="7"/>
      <c r="E26" s="7"/>
      <c r="F26" s="7"/>
      <c r="G26" s="7"/>
      <c r="H26" s="7"/>
      <c r="I26" s="7"/>
    </row>
    <row r="27" spans="1:9" x14ac:dyDescent="0.25">
      <c r="A27" s="7"/>
      <c r="B27" s="7"/>
      <c r="C27" s="7"/>
      <c r="D27" s="7"/>
      <c r="E27" s="7"/>
      <c r="F27" s="7"/>
      <c r="G27" s="7"/>
      <c r="H27" s="7"/>
      <c r="I27" s="7"/>
    </row>
    <row r="28" spans="1:9" x14ac:dyDescent="0.25">
      <c r="A28" s="7"/>
      <c r="B28" s="7"/>
      <c r="C28" s="7"/>
      <c r="D28" s="7"/>
      <c r="E28" s="7"/>
      <c r="F28" s="7"/>
      <c r="G28" s="7"/>
      <c r="H28" s="7"/>
      <c r="I28" s="7"/>
    </row>
    <row r="29" spans="1:9" x14ac:dyDescent="0.25">
      <c r="A29" s="7"/>
      <c r="B29" s="7"/>
      <c r="C29" s="7"/>
      <c r="D29" s="7"/>
      <c r="E29" s="7"/>
      <c r="F29" s="7"/>
      <c r="G29" s="7"/>
      <c r="H29" s="7"/>
      <c r="I29" s="7"/>
    </row>
    <row r="30" spans="1:9" x14ac:dyDescent="0.25">
      <c r="A30" s="7"/>
      <c r="B30" s="7"/>
      <c r="C30" s="7"/>
      <c r="D30" s="7"/>
      <c r="E30" s="7"/>
      <c r="F30" s="7"/>
      <c r="G30" s="7"/>
      <c r="H30" s="7"/>
      <c r="I30" s="7"/>
    </row>
    <row r="31" spans="1:9" x14ac:dyDescent="0.25">
      <c r="A31" s="7"/>
      <c r="B31" s="7"/>
      <c r="C31" s="7"/>
      <c r="D31" s="7"/>
      <c r="E31" s="7"/>
      <c r="F31" s="7"/>
      <c r="G31" s="7"/>
      <c r="H31" s="7"/>
      <c r="I31" s="7"/>
    </row>
    <row r="32" spans="1:9" x14ac:dyDescent="0.25">
      <c r="A32" s="7"/>
      <c r="B32" s="7"/>
      <c r="C32" s="7"/>
      <c r="D32" s="7"/>
      <c r="E32" s="7"/>
      <c r="F32" s="7"/>
      <c r="G32" s="7"/>
      <c r="H32" s="7"/>
      <c r="I32" s="7"/>
    </row>
    <row r="33" spans="1:9" x14ac:dyDescent="0.25">
      <c r="A33" s="7"/>
      <c r="B33" s="7"/>
      <c r="C33" s="7"/>
      <c r="D33" s="7"/>
      <c r="E33" s="7"/>
      <c r="F33" s="7"/>
      <c r="G33" s="7"/>
      <c r="H33" s="7"/>
      <c r="I33" s="7"/>
    </row>
    <row r="34" spans="1:9" x14ac:dyDescent="0.25">
      <c r="A34" s="7"/>
      <c r="B34" s="7"/>
      <c r="C34" s="7"/>
      <c r="D34" s="7"/>
      <c r="E34" s="7"/>
      <c r="F34" s="7"/>
      <c r="G34" s="7"/>
      <c r="H34" s="7"/>
      <c r="I34" s="7"/>
    </row>
    <row r="35" spans="1:9" x14ac:dyDescent="0.25">
      <c r="A35" s="7"/>
      <c r="B35" s="7"/>
      <c r="C35" s="7"/>
      <c r="D35" s="7"/>
      <c r="E35" s="7"/>
      <c r="F35" s="7"/>
      <c r="G35" s="7"/>
      <c r="H35" s="7"/>
      <c r="I35" s="7"/>
    </row>
    <row r="36" spans="1:9" x14ac:dyDescent="0.25">
      <c r="A36" s="7"/>
      <c r="B36" s="7"/>
      <c r="C36" s="7"/>
      <c r="D36" s="7"/>
      <c r="E36" s="7"/>
      <c r="F36" s="7"/>
      <c r="G36" s="7"/>
      <c r="H36" s="7"/>
      <c r="I36" s="7"/>
    </row>
    <row r="37" spans="1:9" x14ac:dyDescent="0.25">
      <c r="A37" s="7"/>
      <c r="B37" s="7"/>
      <c r="C37" s="7"/>
      <c r="D37" s="7"/>
      <c r="E37" s="7"/>
      <c r="F37" s="7"/>
      <c r="G37" s="7"/>
      <c r="H37" s="7"/>
      <c r="I37" s="7"/>
    </row>
    <row r="38" spans="1:9" x14ac:dyDescent="0.25">
      <c r="A38" s="7"/>
      <c r="B38" s="7"/>
      <c r="C38" s="7"/>
      <c r="D38" s="7"/>
      <c r="E38" s="7"/>
      <c r="F38" s="7"/>
      <c r="G38" s="7"/>
      <c r="H38" s="7"/>
      <c r="I38" s="7"/>
    </row>
    <row r="39" spans="1:9" x14ac:dyDescent="0.25">
      <c r="A39" s="7"/>
      <c r="B39" s="7"/>
      <c r="C39" s="7"/>
      <c r="D39" s="7"/>
      <c r="E39" s="7"/>
      <c r="F39" s="7"/>
      <c r="G39" s="7"/>
      <c r="H39" s="7"/>
      <c r="I39" s="7"/>
    </row>
    <row r="40" spans="1:9" x14ac:dyDescent="0.25">
      <c r="A40" s="7"/>
      <c r="B40" s="7"/>
      <c r="C40" s="7"/>
      <c r="D40" s="7"/>
      <c r="E40" s="7"/>
      <c r="F40" s="7"/>
      <c r="G40" s="7"/>
      <c r="H40" s="7"/>
      <c r="I40" s="7"/>
    </row>
    <row r="41" spans="1:9" x14ac:dyDescent="0.25">
      <c r="A41" s="7"/>
      <c r="B41" s="7"/>
      <c r="C41" s="7"/>
      <c r="D41" s="7"/>
      <c r="E41" s="7"/>
      <c r="F41" s="7"/>
      <c r="G41" s="7"/>
      <c r="H41" s="7"/>
      <c r="I41" s="7"/>
    </row>
    <row r="42" spans="1:9" x14ac:dyDescent="0.25">
      <c r="A42" s="7"/>
      <c r="B42" s="7"/>
      <c r="C42" s="7"/>
      <c r="D42" s="7"/>
      <c r="E42" s="7"/>
      <c r="F42" s="7"/>
      <c r="G42" s="7"/>
      <c r="H42" s="7"/>
      <c r="I42" s="7"/>
    </row>
    <row r="43" spans="1:9" x14ac:dyDescent="0.25">
      <c r="A43" s="7"/>
      <c r="B43" s="7"/>
      <c r="C43" s="7"/>
      <c r="D43" s="7"/>
      <c r="E43" s="7"/>
      <c r="F43" s="7"/>
      <c r="G43" s="7"/>
      <c r="H43" s="7"/>
      <c r="I43" s="7"/>
    </row>
    <row r="44" spans="1:9" x14ac:dyDescent="0.25">
      <c r="A44" s="7"/>
      <c r="B44" s="7"/>
      <c r="C44" s="7"/>
      <c r="D44" s="7"/>
      <c r="E44" s="7"/>
      <c r="F44" s="7"/>
      <c r="G44" s="7"/>
      <c r="H44" s="7"/>
      <c r="I44" s="7"/>
    </row>
    <row r="45" spans="1:9" x14ac:dyDescent="0.25">
      <c r="A45" s="7"/>
      <c r="B45" s="7"/>
      <c r="C45" s="7"/>
      <c r="D45" s="7"/>
      <c r="E45" s="7"/>
      <c r="F45" s="7"/>
      <c r="G45" s="7"/>
      <c r="H45" s="7"/>
      <c r="I45" s="7"/>
    </row>
    <row r="46" spans="1:9" x14ac:dyDescent="0.25">
      <c r="A46" s="7"/>
      <c r="B46" s="7"/>
      <c r="C46" s="7"/>
      <c r="D46" s="7"/>
      <c r="E46" s="7"/>
      <c r="F46" s="7"/>
      <c r="G46" s="7"/>
      <c r="H46" s="7"/>
      <c r="I46" s="7"/>
    </row>
    <row r="47" spans="1:9" x14ac:dyDescent="0.25">
      <c r="A47" s="7"/>
      <c r="B47" s="7"/>
      <c r="C47" s="7"/>
      <c r="D47" s="7"/>
      <c r="E47" s="7"/>
      <c r="F47" s="7"/>
      <c r="G47" s="7"/>
      <c r="H47" s="7"/>
      <c r="I47" s="7"/>
    </row>
    <row r="48" spans="1:9" x14ac:dyDescent="0.25">
      <c r="A48" s="7"/>
      <c r="B48" s="7"/>
      <c r="C48" s="7"/>
      <c r="D48" s="7"/>
      <c r="E48" s="7"/>
      <c r="F48" s="7"/>
      <c r="G48" s="7"/>
      <c r="H48" s="7"/>
      <c r="I48" s="7"/>
    </row>
    <row r="49" spans="1:9" x14ac:dyDescent="0.25">
      <c r="A49" s="7"/>
      <c r="B49" s="7"/>
      <c r="C49" s="7"/>
      <c r="D49" s="7"/>
      <c r="E49" s="7"/>
      <c r="F49" s="7"/>
      <c r="G49" s="7"/>
      <c r="H49" s="7"/>
      <c r="I49" s="7"/>
    </row>
    <row r="60" spans="1:9" ht="27" thickBot="1" x14ac:dyDescent="0.45">
      <c r="B60" s="58" t="s">
        <v>79</v>
      </c>
      <c r="C60" s="58"/>
    </row>
    <row r="61" spans="1:9" ht="15.75" thickTop="1" x14ac:dyDescent="0.25"/>
    <row r="65" spans="2:3" ht="27" thickBot="1" x14ac:dyDescent="0.45">
      <c r="B65" s="58" t="s">
        <v>80</v>
      </c>
      <c r="C65" s="58"/>
    </row>
    <row r="66" spans="2:3" ht="15.75" thickTop="1" x14ac:dyDescent="0.25"/>
    <row r="70" spans="2:3" ht="27" thickBot="1" x14ac:dyDescent="0.45">
      <c r="B70" s="58" t="s">
        <v>81</v>
      </c>
      <c r="C70" s="58"/>
    </row>
    <row r="71" spans="2:3" ht="15.75" thickTop="1" x14ac:dyDescent="0.25"/>
    <row r="76" spans="2:3" ht="27" thickBot="1" x14ac:dyDescent="0.45">
      <c r="B76" s="58" t="s">
        <v>82</v>
      </c>
      <c r="C76" s="58"/>
    </row>
    <row r="77" spans="2:3" ht="21.75" thickTop="1" x14ac:dyDescent="0.35">
      <c r="C77" s="57"/>
    </row>
    <row r="82" spans="2:3" ht="27" thickBot="1" x14ac:dyDescent="0.45">
      <c r="B82" s="58" t="s">
        <v>83</v>
      </c>
      <c r="C82" s="58"/>
    </row>
    <row r="83" spans="2:3" ht="15.75" thickTop="1" x14ac:dyDescent="0.25"/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"/>
  <dimension ref="A4:D13"/>
  <sheetViews>
    <sheetView showGridLines="0" showRowColHeaders="0" zoomScaleNormal="100" workbookViewId="0"/>
  </sheetViews>
  <sheetFormatPr defaultRowHeight="15" x14ac:dyDescent="0.25"/>
  <cols>
    <col min="1" max="1" width="35.85546875" style="7" customWidth="1"/>
    <col min="3" max="3" width="52.85546875" customWidth="1"/>
    <col min="4" max="4" width="48.140625" customWidth="1"/>
    <col min="9" max="9" width="9.140625" customWidth="1"/>
  </cols>
  <sheetData>
    <row r="4" spans="3:4" ht="20.25" thickBot="1" x14ac:dyDescent="0.35">
      <c r="C4" s="2" t="s">
        <v>63</v>
      </c>
      <c r="D4" s="2"/>
    </row>
    <row r="5" spans="3:4" ht="21" customHeight="1" thickTop="1" x14ac:dyDescent="0.25">
      <c r="C5" s="39" t="s">
        <v>77</v>
      </c>
      <c r="D5" s="39"/>
    </row>
    <row r="6" spans="3:4" ht="15.75" thickBot="1" x14ac:dyDescent="0.3"/>
    <row r="7" spans="3:4" ht="16.5" thickTop="1" x14ac:dyDescent="0.25">
      <c r="C7" s="9" t="s">
        <v>0</v>
      </c>
      <c r="D7" s="30" t="str">
        <f>TITULAR!D7</f>
        <v>NNNNNNNNNN NNNNNNNN</v>
      </c>
    </row>
    <row r="8" spans="3:4" ht="15.75" x14ac:dyDescent="0.25">
      <c r="C8" s="10" t="s">
        <v>1</v>
      </c>
      <c r="D8" s="31" t="str">
        <f>TITULAR!D8</f>
        <v>000.000.000-3</v>
      </c>
    </row>
    <row r="9" spans="3:4" ht="16.5" thickBot="1" x14ac:dyDescent="0.3">
      <c r="C9" s="11" t="s">
        <v>24</v>
      </c>
      <c r="D9" s="32" t="str">
        <f>TITULAR!D12</f>
        <v>R. NOMERUA, Nº 000 - CIDADE - ESTADO</v>
      </c>
    </row>
    <row r="10" spans="3:4" ht="16.5" thickTop="1" thickBot="1" x14ac:dyDescent="0.3"/>
    <row r="11" spans="3:4" ht="16.5" thickTop="1" x14ac:dyDescent="0.25">
      <c r="C11" s="23" t="s">
        <v>72</v>
      </c>
      <c r="D11" s="28">
        <f>NOTAS!D9</f>
        <v>517496</v>
      </c>
    </row>
    <row r="12" spans="3:4" ht="16.5" thickBot="1" x14ac:dyDescent="0.3">
      <c r="C12" s="24" t="s">
        <v>66</v>
      </c>
      <c r="D12" s="29">
        <f>NOTAS!E9</f>
        <v>92517.270000000019</v>
      </c>
    </row>
    <row r="13" spans="3:4" ht="15.75" thickTop="1" x14ac:dyDescent="0.25"/>
  </sheetData>
  <mergeCells count="1">
    <mergeCell ref="C5:D5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5"/>
  <dimension ref="A4:D20"/>
  <sheetViews>
    <sheetView showGridLines="0" showRowColHeaders="0" zoomScaleNormal="100" workbookViewId="0"/>
  </sheetViews>
  <sheetFormatPr defaultRowHeight="15" x14ac:dyDescent="0.25"/>
  <cols>
    <col min="1" max="1" width="35.85546875" style="7" customWidth="1"/>
    <col min="3" max="3" width="49.140625" customWidth="1"/>
    <col min="4" max="4" width="36.7109375" customWidth="1"/>
    <col min="9" max="9" width="9.140625" customWidth="1"/>
  </cols>
  <sheetData>
    <row r="4" spans="3:4" ht="20.25" thickBot="1" x14ac:dyDescent="0.35">
      <c r="C4" s="2" t="s">
        <v>12</v>
      </c>
      <c r="D4" s="2"/>
    </row>
    <row r="5" spans="3:4" ht="21" customHeight="1" thickTop="1" x14ac:dyDescent="0.25">
      <c r="C5" s="39" t="s">
        <v>23</v>
      </c>
      <c r="D5" s="39"/>
    </row>
    <row r="6" spans="3:4" ht="15.75" thickBot="1" x14ac:dyDescent="0.3"/>
    <row r="7" spans="3:4" ht="15.75" thickTop="1" x14ac:dyDescent="0.25">
      <c r="C7" s="9" t="s">
        <v>0</v>
      </c>
      <c r="D7" s="3" t="s">
        <v>19</v>
      </c>
    </row>
    <row r="8" spans="3:4" x14ac:dyDescent="0.25">
      <c r="C8" s="10" t="s">
        <v>1</v>
      </c>
      <c r="D8" s="4" t="s">
        <v>13</v>
      </c>
    </row>
    <row r="9" spans="3:4" x14ac:dyDescent="0.25">
      <c r="C9" s="10" t="s">
        <v>2</v>
      </c>
      <c r="D9" s="4" t="s">
        <v>15</v>
      </c>
    </row>
    <row r="10" spans="3:4" x14ac:dyDescent="0.25">
      <c r="C10" s="10" t="s">
        <v>3</v>
      </c>
      <c r="D10" s="4">
        <v>222222222</v>
      </c>
    </row>
    <row r="11" spans="3:4" x14ac:dyDescent="0.25">
      <c r="C11" s="10" t="s">
        <v>4</v>
      </c>
      <c r="D11" s="4" t="s">
        <v>19</v>
      </c>
    </row>
    <row r="12" spans="3:4" x14ac:dyDescent="0.25">
      <c r="C12" s="10" t="s">
        <v>24</v>
      </c>
      <c r="D12" s="4" t="s">
        <v>22</v>
      </c>
    </row>
    <row r="13" spans="3:4" x14ac:dyDescent="0.25">
      <c r="C13" s="10" t="s">
        <v>5</v>
      </c>
      <c r="D13" s="4" t="s">
        <v>14</v>
      </c>
    </row>
    <row r="14" spans="3:4" x14ac:dyDescent="0.25">
      <c r="C14" s="10" t="s">
        <v>6</v>
      </c>
      <c r="D14" s="4" t="s">
        <v>21</v>
      </c>
    </row>
    <row r="15" spans="3:4" x14ac:dyDescent="0.25">
      <c r="C15" s="10" t="s">
        <v>7</v>
      </c>
      <c r="D15" s="4" t="s">
        <v>20</v>
      </c>
    </row>
    <row r="16" spans="3:4" x14ac:dyDescent="0.25">
      <c r="C16" s="10" t="s">
        <v>8</v>
      </c>
      <c r="D16" s="6" t="s">
        <v>16</v>
      </c>
    </row>
    <row r="17" spans="3:4" x14ac:dyDescent="0.25">
      <c r="C17" s="10" t="s">
        <v>11</v>
      </c>
      <c r="D17" s="4" t="s">
        <v>17</v>
      </c>
    </row>
    <row r="18" spans="3:4" x14ac:dyDescent="0.25">
      <c r="C18" s="10" t="s">
        <v>9</v>
      </c>
      <c r="D18" s="4" t="s">
        <v>18</v>
      </c>
    </row>
    <row r="19" spans="3:4" ht="15.75" thickBot="1" x14ac:dyDescent="0.3">
      <c r="C19" s="11" t="s">
        <v>10</v>
      </c>
      <c r="D19" s="5" t="s">
        <v>18</v>
      </c>
    </row>
    <row r="20" spans="3:4" ht="15.75" thickTop="1" x14ac:dyDescent="0.25"/>
  </sheetData>
  <mergeCells count="1">
    <mergeCell ref="C5:D5"/>
  </mergeCells>
  <dataValidations count="1">
    <dataValidation type="list" allowBlank="1" showInputMessage="1" showErrorMessage="1" sqref="D17:D19">
      <formula1>"SIM,NÃO"</formula1>
    </dataValidation>
  </dataValidations>
  <hyperlinks>
    <hyperlink ref="D16" r:id="rId1"/>
  </hyperlinks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7"/>
  <dimension ref="A4:D26"/>
  <sheetViews>
    <sheetView showGridLines="0" showRowColHeaders="0" zoomScaleNormal="100" workbookViewId="0"/>
  </sheetViews>
  <sheetFormatPr defaultRowHeight="15" x14ac:dyDescent="0.25"/>
  <cols>
    <col min="1" max="1" width="35.85546875" style="7" customWidth="1"/>
    <col min="3" max="3" width="49.140625" customWidth="1"/>
    <col min="4" max="4" width="40.42578125" customWidth="1"/>
    <col min="8" max="8" width="9.140625" customWidth="1"/>
    <col min="9" max="9" width="15.28515625" customWidth="1"/>
  </cols>
  <sheetData>
    <row r="4" spans="3:4" ht="20.25" thickBot="1" x14ac:dyDescent="0.35">
      <c r="C4" s="2" t="s">
        <v>25</v>
      </c>
      <c r="D4" s="2"/>
    </row>
    <row r="5" spans="3:4" ht="21" customHeight="1" thickTop="1" x14ac:dyDescent="0.25">
      <c r="C5" s="39" t="s">
        <v>76</v>
      </c>
      <c r="D5" s="39"/>
    </row>
    <row r="7" spans="3:4" ht="19.5" x14ac:dyDescent="0.3">
      <c r="C7" s="15" t="s">
        <v>52</v>
      </c>
    </row>
    <row r="8" spans="3:4" ht="18.75" x14ac:dyDescent="0.3">
      <c r="C8" s="53">
        <f>SUM(NOTAS!F13:F53)</f>
        <v>517496</v>
      </c>
      <c r="D8" s="54"/>
    </row>
    <row r="10" spans="3:4" ht="20.25" thickBot="1" x14ac:dyDescent="0.35">
      <c r="C10" s="2" t="s">
        <v>75</v>
      </c>
      <c r="D10" s="2"/>
    </row>
    <row r="11" spans="3:4" ht="8.25" customHeight="1" thickTop="1" x14ac:dyDescent="0.25"/>
    <row r="12" spans="3:4" ht="15.75" thickBot="1" x14ac:dyDescent="0.3">
      <c r="C12" s="13" t="s">
        <v>51</v>
      </c>
    </row>
    <row r="13" spans="3:4" ht="15.75" thickTop="1" x14ac:dyDescent="0.25">
      <c r="C13" s="9" t="s">
        <v>26</v>
      </c>
      <c r="D13" s="50" t="str">
        <f>IF(
MAX(TABELAS!$B$3:$B$21)=0,"-",
INDEX(TABELAS!$A$3:$A$21,MATCH(MAX(TABELAS!$B$3:$B$21),TABELAS!$B$3:$B$21,0)))</f>
        <v>11 - BANCO D</v>
      </c>
    </row>
    <row r="14" spans="3:4" x14ac:dyDescent="0.25">
      <c r="C14" s="10" t="s">
        <v>27</v>
      </c>
      <c r="D14" s="51">
        <f ca="1">SUMIF(Tabela24[[BANCO]:[VALOR]],INFORME!D13,Tabela24[VALOR])</f>
        <v>67512</v>
      </c>
    </row>
    <row r="15" spans="3:4" ht="15.75" thickBot="1" x14ac:dyDescent="0.3">
      <c r="C15" s="11" t="s">
        <v>28</v>
      </c>
      <c r="D15" s="52" t="s">
        <v>48</v>
      </c>
    </row>
    <row r="16" spans="3:4" ht="15.75" thickTop="1" x14ac:dyDescent="0.25"/>
    <row r="17" spans="3:4" ht="15.75" thickBot="1" x14ac:dyDescent="0.3">
      <c r="C17" s="12" t="s">
        <v>50</v>
      </c>
    </row>
    <row r="18" spans="3:4" ht="15.75" thickTop="1" x14ac:dyDescent="0.25">
      <c r="C18" s="9" t="s">
        <v>26</v>
      </c>
      <c r="D18" s="50" t="str">
        <f>IF(LARGE(TABELAS!$B$3:$B$21,2)=0,"-",
INDEX(TABELAS!$A$3:$A$21,
MATCH(LARGE(TABELAS!$B$3:$B$21,2),TABELAS!$B$3:$B$21,0)))</f>
        <v>283 - BANCO G</v>
      </c>
    </row>
    <row r="19" spans="3:4" x14ac:dyDescent="0.25">
      <c r="C19" s="10" t="s">
        <v>27</v>
      </c>
      <c r="D19" s="51">
        <f ca="1">SUMIF(Tabela24[[BANCO]:[VALOR]],INFORME!D18,Tabela24[VALOR])</f>
        <v>51670</v>
      </c>
    </row>
    <row r="20" spans="3:4" ht="15.75" thickBot="1" x14ac:dyDescent="0.3">
      <c r="C20" s="11" t="s">
        <v>28</v>
      </c>
      <c r="D20" s="52" t="s">
        <v>48</v>
      </c>
    </row>
    <row r="21" spans="3:4" ht="15.75" thickTop="1" x14ac:dyDescent="0.25"/>
    <row r="22" spans="3:4" ht="15.75" thickBot="1" x14ac:dyDescent="0.3">
      <c r="C22" s="14" t="s">
        <v>49</v>
      </c>
    </row>
    <row r="23" spans="3:4" ht="15.75" thickTop="1" x14ac:dyDescent="0.25">
      <c r="C23" s="9" t="s">
        <v>26</v>
      </c>
      <c r="D23" s="50" t="str">
        <f>IF(
LARGE(TABELAS!$B$3:$B$21,3)=0,"-",
INDEX(TABELAS!$A$3:$A$21,
MATCH(LARGE(TABELAS!$B$3:$B$21,3),TABELAS!$B$3:$B$21,0)))</f>
        <v>202 - BANCO B</v>
      </c>
    </row>
    <row r="24" spans="3:4" x14ac:dyDescent="0.25">
      <c r="C24" s="10" t="s">
        <v>27</v>
      </c>
      <c r="D24" s="51">
        <f ca="1">SUMIF(Tabela24[[BANCO]:[VALOR]],INFORME!D23,Tabela24[VALOR])</f>
        <v>61962</v>
      </c>
    </row>
    <row r="25" spans="3:4" ht="15.75" thickBot="1" x14ac:dyDescent="0.3">
      <c r="C25" s="11" t="s">
        <v>28</v>
      </c>
      <c r="D25" s="52" t="s">
        <v>48</v>
      </c>
    </row>
    <row r="26" spans="3:4" ht="15.75" thickTop="1" x14ac:dyDescent="0.25"/>
  </sheetData>
  <mergeCells count="2">
    <mergeCell ref="C5:D5"/>
    <mergeCell ref="C8:D8"/>
  </mergeCells>
  <pageMargins left="0.511811024" right="0.511811024" top="0.78740157499999996" bottom="0.78740157499999996" header="0.31496062000000002" footer="0.31496062000000002"/>
  <pageSetup paperSize="9" orientation="portrait" horizontalDpi="4294967292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8"/>
  <dimension ref="A4:G53"/>
  <sheetViews>
    <sheetView showGridLines="0" showRowColHeaders="0" zoomScaleNormal="100" workbookViewId="0"/>
  </sheetViews>
  <sheetFormatPr defaultRowHeight="15" x14ac:dyDescent="0.25"/>
  <cols>
    <col min="1" max="1" width="35.85546875" style="7" customWidth="1"/>
    <col min="3" max="3" width="35.85546875" customWidth="1"/>
    <col min="4" max="4" width="27.42578125" customWidth="1"/>
    <col min="5" max="6" width="23.28515625" customWidth="1"/>
    <col min="7" max="7" width="27.85546875" customWidth="1"/>
    <col min="8" max="8" width="24.42578125" customWidth="1"/>
    <col min="9" max="9" width="20.42578125" customWidth="1"/>
  </cols>
  <sheetData>
    <row r="4" spans="3:7" ht="20.25" thickBot="1" x14ac:dyDescent="0.35">
      <c r="C4" s="2" t="s">
        <v>53</v>
      </c>
      <c r="D4" s="16"/>
      <c r="E4" s="16"/>
      <c r="F4" s="17"/>
      <c r="G4" s="17"/>
    </row>
    <row r="5" spans="3:7" ht="21" customHeight="1" thickTop="1" x14ac:dyDescent="0.25">
      <c r="C5" s="40" t="s">
        <v>73</v>
      </c>
      <c r="D5" s="40"/>
      <c r="E5" s="40"/>
      <c r="F5" s="40"/>
      <c r="G5" s="38"/>
    </row>
    <row r="6" spans="3:7" ht="15.75" thickBot="1" x14ac:dyDescent="0.3"/>
    <row r="7" spans="3:7" ht="16.5" thickTop="1" x14ac:dyDescent="0.25">
      <c r="D7" s="41" t="s">
        <v>72</v>
      </c>
      <c r="E7" s="46" t="s">
        <v>71</v>
      </c>
      <c r="F7" s="25" t="s">
        <v>64</v>
      </c>
      <c r="G7" s="26" t="s">
        <v>65</v>
      </c>
    </row>
    <row r="8" spans="3:7" ht="15.75" thickBot="1" x14ac:dyDescent="0.3">
      <c r="D8" s="42"/>
      <c r="E8" s="47"/>
      <c r="F8" s="37" t="s">
        <v>59</v>
      </c>
      <c r="G8" s="37" t="s">
        <v>32</v>
      </c>
    </row>
    <row r="9" spans="3:7" ht="19.5" thickTop="1" x14ac:dyDescent="0.3">
      <c r="D9" s="22">
        <f>SUM(Tabela24[VALOR])</f>
        <v>517496</v>
      </c>
      <c r="E9" s="22">
        <f>SUM(Tabela24[Valor Estimado Imposto])</f>
        <v>92517.270000000019</v>
      </c>
      <c r="F9" s="22">
        <f ca="1">SUMIF(Tabela24[[ORIGEM]:[VALOR]],F8,Tabela24[VALOR])</f>
        <v>151905</v>
      </c>
      <c r="G9" s="22">
        <f ca="1">SUMIF(Tabela24[[BANCO]:[VALOR]],G8,Tabela24[VALOR])</f>
        <v>67512</v>
      </c>
    </row>
    <row r="10" spans="3:7" ht="15.75" thickBot="1" x14ac:dyDescent="0.3"/>
    <row r="11" spans="3:7" ht="20.25" thickTop="1" thickBot="1" x14ac:dyDescent="0.35">
      <c r="C11" s="43" t="s">
        <v>60</v>
      </c>
      <c r="D11" s="44"/>
      <c r="E11" s="44"/>
      <c r="F11" s="44"/>
      <c r="G11" s="45"/>
    </row>
    <row r="12" spans="3:7" ht="15.75" thickTop="1" x14ac:dyDescent="0.25">
      <c r="C12" s="21" t="s">
        <v>54</v>
      </c>
      <c r="D12" s="21" t="s">
        <v>55</v>
      </c>
      <c r="E12" s="21" t="s">
        <v>26</v>
      </c>
      <c r="F12" s="33" t="s">
        <v>56</v>
      </c>
      <c r="G12" s="20" t="s">
        <v>70</v>
      </c>
    </row>
    <row r="13" spans="3:7" x14ac:dyDescent="0.25">
      <c r="C13" s="48">
        <v>46340</v>
      </c>
      <c r="D13" s="1" t="s">
        <v>58</v>
      </c>
      <c r="E13" s="1" t="s">
        <v>30</v>
      </c>
      <c r="F13" s="27">
        <v>19051</v>
      </c>
      <c r="G13" s="35">
        <f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f>
        <v>2667.1400000000003</v>
      </c>
    </row>
    <row r="14" spans="3:7" x14ac:dyDescent="0.25">
      <c r="C14" s="48">
        <v>48752</v>
      </c>
      <c r="D14" s="1" t="s">
        <v>59</v>
      </c>
      <c r="E14" s="1" t="s">
        <v>30</v>
      </c>
      <c r="F14" s="27">
        <v>19866</v>
      </c>
      <c r="G14" s="35">
        <f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f>
        <v>4569.18</v>
      </c>
    </row>
    <row r="15" spans="3:7" x14ac:dyDescent="0.25">
      <c r="C15" s="48">
        <v>45906</v>
      </c>
      <c r="D15" s="1" t="s">
        <v>58</v>
      </c>
      <c r="E15" s="1" t="s">
        <v>29</v>
      </c>
      <c r="F15" s="27">
        <v>5633</v>
      </c>
      <c r="G15" s="35">
        <f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f>
        <v>788.62000000000012</v>
      </c>
    </row>
    <row r="16" spans="3:7" x14ac:dyDescent="0.25">
      <c r="C16" s="48">
        <v>45373</v>
      </c>
      <c r="D16" s="1" t="s">
        <v>61</v>
      </c>
      <c r="E16" s="1" t="s">
        <v>32</v>
      </c>
      <c r="F16" s="27">
        <v>9780</v>
      </c>
      <c r="G16" s="35">
        <f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f>
        <v>1955.9999999999998</v>
      </c>
    </row>
    <row r="17" spans="3:7" x14ac:dyDescent="0.25">
      <c r="C17" s="48">
        <v>46492</v>
      </c>
      <c r="D17" s="1" t="s">
        <v>59</v>
      </c>
      <c r="E17" s="1" t="s">
        <v>34</v>
      </c>
      <c r="F17" s="27">
        <v>18154</v>
      </c>
      <c r="G17" s="35">
        <f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f>
        <v>4175.42</v>
      </c>
    </row>
    <row r="18" spans="3:7" x14ac:dyDescent="0.25">
      <c r="C18" s="48">
        <v>49323</v>
      </c>
      <c r="D18" s="1" t="s">
        <v>61</v>
      </c>
      <c r="E18" s="1" t="s">
        <v>33</v>
      </c>
      <c r="F18" s="27">
        <v>16626</v>
      </c>
      <c r="G18" s="35">
        <f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f>
        <v>3325.2000000000003</v>
      </c>
    </row>
    <row r="19" spans="3:7" x14ac:dyDescent="0.25">
      <c r="C19" s="48">
        <v>49193</v>
      </c>
      <c r="D19" s="1" t="s">
        <v>57</v>
      </c>
      <c r="E19" s="1" t="s">
        <v>32</v>
      </c>
      <c r="F19" s="27">
        <v>9204</v>
      </c>
      <c r="G19" s="35">
        <f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f>
        <v>736.32</v>
      </c>
    </row>
    <row r="20" spans="3:7" x14ac:dyDescent="0.25">
      <c r="C20" s="48">
        <v>46531</v>
      </c>
      <c r="D20" s="1" t="s">
        <v>58</v>
      </c>
      <c r="E20" s="1" t="s">
        <v>31</v>
      </c>
      <c r="F20" s="27">
        <v>9937</v>
      </c>
      <c r="G20" s="35">
        <f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f>
        <v>1391.18</v>
      </c>
    </row>
    <row r="21" spans="3:7" x14ac:dyDescent="0.25">
      <c r="C21" s="48">
        <v>47861</v>
      </c>
      <c r="D21" s="1" t="s">
        <v>59</v>
      </c>
      <c r="E21" s="1" t="s">
        <v>44</v>
      </c>
      <c r="F21" s="27">
        <v>7795</v>
      </c>
      <c r="G21" s="35">
        <f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f>
        <v>1792.85</v>
      </c>
    </row>
    <row r="22" spans="3:7" x14ac:dyDescent="0.25">
      <c r="C22" s="48">
        <v>46721</v>
      </c>
      <c r="D22" s="1" t="s">
        <v>59</v>
      </c>
      <c r="E22" s="1" t="s">
        <v>35</v>
      </c>
      <c r="F22" s="27">
        <v>11915</v>
      </c>
      <c r="G22" s="35">
        <f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f>
        <v>2740.4500000000003</v>
      </c>
    </row>
    <row r="23" spans="3:7" x14ac:dyDescent="0.25">
      <c r="C23" s="48">
        <v>47572</v>
      </c>
      <c r="D23" s="1" t="s">
        <v>61</v>
      </c>
      <c r="E23" s="1" t="s">
        <v>32</v>
      </c>
      <c r="F23" s="27">
        <v>14029</v>
      </c>
      <c r="G23" s="35">
        <f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f>
        <v>2805.8</v>
      </c>
    </row>
    <row r="24" spans="3:7" x14ac:dyDescent="0.25">
      <c r="C24" s="48">
        <v>48957</v>
      </c>
      <c r="D24" s="1" t="s">
        <v>62</v>
      </c>
      <c r="E24" s="1" t="s">
        <v>41</v>
      </c>
      <c r="F24" s="27">
        <v>18315</v>
      </c>
      <c r="G24" s="35">
        <f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f>
        <v>3296.7</v>
      </c>
    </row>
    <row r="25" spans="3:7" x14ac:dyDescent="0.25">
      <c r="C25" s="48">
        <v>46512</v>
      </c>
      <c r="D25" s="1" t="s">
        <v>58</v>
      </c>
      <c r="E25" s="1" t="s">
        <v>35</v>
      </c>
      <c r="F25" s="27">
        <v>8207</v>
      </c>
      <c r="G25" s="35">
        <f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f>
        <v>1148.98</v>
      </c>
    </row>
    <row r="26" spans="3:7" x14ac:dyDescent="0.25">
      <c r="C26" s="48">
        <v>48973</v>
      </c>
      <c r="D26" s="1" t="s">
        <v>59</v>
      </c>
      <c r="E26" s="1" t="s">
        <v>40</v>
      </c>
      <c r="F26" s="27">
        <v>13332</v>
      </c>
      <c r="G26" s="35">
        <f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f>
        <v>3066.36</v>
      </c>
    </row>
    <row r="27" spans="3:7" x14ac:dyDescent="0.25">
      <c r="C27" s="48">
        <v>45289</v>
      </c>
      <c r="D27" s="1" t="s">
        <v>58</v>
      </c>
      <c r="E27" s="1" t="s">
        <v>31</v>
      </c>
      <c r="F27" s="27">
        <v>6529</v>
      </c>
      <c r="G27" s="35">
        <f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f>
        <v>914.06000000000006</v>
      </c>
    </row>
    <row r="28" spans="3:7" x14ac:dyDescent="0.25">
      <c r="C28" s="48">
        <v>49267</v>
      </c>
      <c r="D28" s="1" t="s">
        <v>59</v>
      </c>
      <c r="E28" s="1" t="s">
        <v>29</v>
      </c>
      <c r="F28" s="27">
        <v>11257</v>
      </c>
      <c r="G28" s="35">
        <f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f>
        <v>2589.11</v>
      </c>
    </row>
    <row r="29" spans="3:7" x14ac:dyDescent="0.25">
      <c r="C29" s="48">
        <v>46376</v>
      </c>
      <c r="D29" s="1" t="s">
        <v>61</v>
      </c>
      <c r="E29" s="1" t="s">
        <v>32</v>
      </c>
      <c r="F29" s="27">
        <v>7123</v>
      </c>
      <c r="G29" s="35">
        <f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f>
        <v>1424.6000000000001</v>
      </c>
    </row>
    <row r="30" spans="3:7" x14ac:dyDescent="0.25">
      <c r="C30" s="48">
        <v>49947</v>
      </c>
      <c r="D30" s="1" t="s">
        <v>58</v>
      </c>
      <c r="E30" s="1" t="s">
        <v>35</v>
      </c>
      <c r="F30" s="27">
        <v>7556</v>
      </c>
      <c r="G30" s="35">
        <f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f>
        <v>1057.8400000000001</v>
      </c>
    </row>
    <row r="31" spans="3:7" x14ac:dyDescent="0.25">
      <c r="C31" s="48">
        <v>48757</v>
      </c>
      <c r="D31" s="1" t="s">
        <v>61</v>
      </c>
      <c r="E31" s="1" t="s">
        <v>30</v>
      </c>
      <c r="F31" s="27">
        <v>12454</v>
      </c>
      <c r="G31" s="35">
        <f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f>
        <v>2490.8000000000002</v>
      </c>
    </row>
    <row r="32" spans="3:7" x14ac:dyDescent="0.25">
      <c r="C32" s="48">
        <v>46963</v>
      </c>
      <c r="D32" s="1" t="s">
        <v>59</v>
      </c>
      <c r="E32" s="1" t="s">
        <v>35</v>
      </c>
      <c r="F32" s="27">
        <v>9356</v>
      </c>
      <c r="G32" s="35">
        <f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f>
        <v>2151.88</v>
      </c>
    </row>
    <row r="33" spans="3:7" x14ac:dyDescent="0.25">
      <c r="C33" s="48">
        <v>46565</v>
      </c>
      <c r="D33" s="1" t="s">
        <v>61</v>
      </c>
      <c r="E33" s="1" t="s">
        <v>35</v>
      </c>
      <c r="F33" s="27">
        <v>14636</v>
      </c>
      <c r="G33" s="35">
        <f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f>
        <v>2927.2000000000003</v>
      </c>
    </row>
    <row r="34" spans="3:7" x14ac:dyDescent="0.25">
      <c r="C34" s="48">
        <v>45842</v>
      </c>
      <c r="D34" s="1" t="s">
        <v>57</v>
      </c>
      <c r="E34" s="1" t="s">
        <v>31</v>
      </c>
      <c r="F34" s="27">
        <v>18592</v>
      </c>
      <c r="G34" s="35">
        <f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f>
        <v>1487.3600000000001</v>
      </c>
    </row>
    <row r="35" spans="3:7" x14ac:dyDescent="0.25">
      <c r="C35" s="48">
        <v>47275</v>
      </c>
      <c r="D35" s="1" t="s">
        <v>58</v>
      </c>
      <c r="E35" s="1" t="s">
        <v>41</v>
      </c>
      <c r="F35" s="27">
        <v>5949</v>
      </c>
      <c r="G35" s="35">
        <f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f>
        <v>832.86000000000013</v>
      </c>
    </row>
    <row r="36" spans="3:7" x14ac:dyDescent="0.25">
      <c r="C36" s="48">
        <v>49482</v>
      </c>
      <c r="D36" s="1" t="s">
        <v>59</v>
      </c>
      <c r="E36" s="1" t="s">
        <v>44</v>
      </c>
      <c r="F36" s="27">
        <v>10878</v>
      </c>
      <c r="G36" s="35">
        <f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f>
        <v>2501.94</v>
      </c>
    </row>
    <row r="37" spans="3:7" x14ac:dyDescent="0.25">
      <c r="C37" s="48">
        <v>48420</v>
      </c>
      <c r="D37" s="1" t="s">
        <v>59</v>
      </c>
      <c r="E37" s="1" t="s">
        <v>30</v>
      </c>
      <c r="F37" s="27">
        <v>10591</v>
      </c>
      <c r="G37" s="35">
        <f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f>
        <v>2435.9300000000003</v>
      </c>
    </row>
    <row r="38" spans="3:7" x14ac:dyDescent="0.25">
      <c r="C38" s="48">
        <v>46333</v>
      </c>
      <c r="D38" s="1" t="s">
        <v>58</v>
      </c>
      <c r="E38" s="1" t="s">
        <v>41</v>
      </c>
      <c r="F38" s="27">
        <v>17450</v>
      </c>
      <c r="G38" s="35">
        <f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f>
        <v>2443.0000000000005</v>
      </c>
    </row>
    <row r="39" spans="3:7" x14ac:dyDescent="0.25">
      <c r="C39" s="48">
        <v>49597</v>
      </c>
      <c r="D39" s="1" t="s">
        <v>59</v>
      </c>
      <c r="E39" s="1" t="s">
        <v>37</v>
      </c>
      <c r="F39" s="27">
        <v>11385</v>
      </c>
      <c r="G39" s="35">
        <f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f>
        <v>2618.5500000000002</v>
      </c>
    </row>
    <row r="40" spans="3:7" x14ac:dyDescent="0.25">
      <c r="C40" s="48">
        <v>46505</v>
      </c>
      <c r="D40" s="1" t="s">
        <v>58</v>
      </c>
      <c r="E40" s="1" t="s">
        <v>31</v>
      </c>
      <c r="F40" s="27">
        <v>19035</v>
      </c>
      <c r="G40" s="35">
        <f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f>
        <v>2664.9</v>
      </c>
    </row>
    <row r="41" spans="3:7" x14ac:dyDescent="0.25">
      <c r="C41" s="48">
        <v>47158</v>
      </c>
      <c r="D41" s="1" t="s">
        <v>61</v>
      </c>
      <c r="E41" s="1" t="s">
        <v>42</v>
      </c>
      <c r="F41" s="27">
        <v>5282</v>
      </c>
      <c r="G41" s="35">
        <f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f>
        <v>1056.4000000000001</v>
      </c>
    </row>
    <row r="42" spans="3:7" x14ac:dyDescent="0.25">
      <c r="C42" s="48">
        <v>45284</v>
      </c>
      <c r="D42" s="1" t="s">
        <v>61</v>
      </c>
      <c r="E42" s="1" t="s">
        <v>38</v>
      </c>
      <c r="F42" s="27">
        <v>11371</v>
      </c>
      <c r="G42" s="35">
        <f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f>
        <v>2274.2000000000003</v>
      </c>
    </row>
    <row r="43" spans="3:7" x14ac:dyDescent="0.25">
      <c r="C43" s="48">
        <v>48367</v>
      </c>
      <c r="D43" s="1" t="s">
        <v>62</v>
      </c>
      <c r="E43" s="1" t="s">
        <v>39</v>
      </c>
      <c r="F43" s="27">
        <v>15297</v>
      </c>
      <c r="G43" s="35">
        <f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f>
        <v>2753.46</v>
      </c>
    </row>
    <row r="44" spans="3:7" x14ac:dyDescent="0.25">
      <c r="C44" s="48">
        <v>48175</v>
      </c>
      <c r="D44" s="1" t="s">
        <v>61</v>
      </c>
      <c r="E44" s="1" t="s">
        <v>43</v>
      </c>
      <c r="F44" s="27">
        <v>11198</v>
      </c>
      <c r="G44" s="35">
        <f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f>
        <v>2239.6</v>
      </c>
    </row>
    <row r="45" spans="3:7" x14ac:dyDescent="0.25">
      <c r="C45" s="48">
        <v>49751</v>
      </c>
      <c r="D45" s="1" t="s">
        <v>57</v>
      </c>
      <c r="E45" s="1" t="s">
        <v>38</v>
      </c>
      <c r="F45" s="27">
        <v>18342</v>
      </c>
      <c r="G45" s="35">
        <f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f>
        <v>1467.3600000000001</v>
      </c>
    </row>
    <row r="46" spans="3:7" x14ac:dyDescent="0.25">
      <c r="C46" s="48">
        <v>47151</v>
      </c>
      <c r="D46" s="1" t="s">
        <v>59</v>
      </c>
      <c r="E46" s="1" t="s">
        <v>32</v>
      </c>
      <c r="F46" s="27">
        <v>12389</v>
      </c>
      <c r="G46" s="35">
        <f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f>
        <v>2849.4700000000003</v>
      </c>
    </row>
    <row r="47" spans="3:7" x14ac:dyDescent="0.25">
      <c r="C47" s="48">
        <v>49064</v>
      </c>
      <c r="D47" s="1" t="s">
        <v>58</v>
      </c>
      <c r="E47" s="1" t="s">
        <v>34</v>
      </c>
      <c r="F47" s="27">
        <v>15365</v>
      </c>
      <c r="G47" s="35">
        <f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f>
        <v>2151.1000000000004</v>
      </c>
    </row>
    <row r="48" spans="3:7" x14ac:dyDescent="0.25">
      <c r="C48" s="48">
        <v>47741</v>
      </c>
      <c r="D48" s="1" t="s">
        <v>61</v>
      </c>
      <c r="E48" s="1" t="s">
        <v>45</v>
      </c>
      <c r="F48" s="27">
        <v>19655</v>
      </c>
      <c r="G48" s="35">
        <f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f>
        <v>3931</v>
      </c>
    </row>
    <row r="49" spans="3:7" x14ac:dyDescent="0.25">
      <c r="C49" s="48">
        <v>47264</v>
      </c>
      <c r="D49" s="1" t="s">
        <v>62</v>
      </c>
      <c r="E49" s="1" t="s">
        <v>33</v>
      </c>
      <c r="F49" s="27">
        <v>8110</v>
      </c>
      <c r="G49" s="35">
        <f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f>
        <v>1459.8</v>
      </c>
    </row>
    <row r="50" spans="3:7" x14ac:dyDescent="0.25">
      <c r="C50" s="48">
        <v>48142</v>
      </c>
      <c r="D50" s="1" t="s">
        <v>62</v>
      </c>
      <c r="E50" s="1" t="s">
        <v>46</v>
      </c>
      <c r="F50" s="27">
        <v>17446</v>
      </c>
      <c r="G50" s="35">
        <f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f>
        <v>3140.2799999999997</v>
      </c>
    </row>
    <row r="51" spans="3:7" x14ac:dyDescent="0.25">
      <c r="C51" s="48">
        <v>47930</v>
      </c>
      <c r="D51" s="1" t="s">
        <v>58</v>
      </c>
      <c r="E51" s="1" t="s">
        <v>47</v>
      </c>
      <c r="F51" s="27">
        <v>14564</v>
      </c>
      <c r="G51" s="35">
        <f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f>
        <v>2038.96</v>
      </c>
    </row>
    <row r="52" spans="3:7" x14ac:dyDescent="0.25">
      <c r="C52" s="48">
        <v>45901</v>
      </c>
      <c r="D52" s="1" t="s">
        <v>59</v>
      </c>
      <c r="E52" s="1" t="s">
        <v>32</v>
      </c>
      <c r="F52" s="27">
        <v>14987</v>
      </c>
      <c r="G52" s="35">
        <f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f>
        <v>3447.01</v>
      </c>
    </row>
    <row r="53" spans="3:7" x14ac:dyDescent="0.25">
      <c r="C53" s="48">
        <v>45545</v>
      </c>
      <c r="D53" s="1" t="s">
        <v>57</v>
      </c>
      <c r="E53" s="1" t="s">
        <v>34</v>
      </c>
      <c r="F53" s="27">
        <v>8855</v>
      </c>
      <c r="G53" s="36">
        <f>IF(Tabela24[[#This Row],[ORIGEM]] = TABELAS!$E$3,(Tabela24[[#This Row],[VALOR]]*TABELAS!$F$3/100)*100,
IF(Tabela24[[#This Row],[ORIGEM]] = TABELAS!$E$4,(Tabela24[[#This Row],[VALOR]]*TABELAS!$F$4/100)*100,
IF(Tabela24[[#This Row],[ORIGEM]] = TABELAS!$E$5,(Tabela24[[#This Row],[VALOR]]*TABELAS!$F$5/100)*100,
IF(Tabela24[[#This Row],[ORIGEM]] = TABELAS!$E$6,(Tabela24[[#This Row],[VALOR]]*TABELAS!$F$6/100)*100,
IF(Tabela24[[#This Row],[ORIGEM]] = TABELAS!$E$7,(Tabela24[[#This Row],[VALOR]]*TABELAS!$F$7/100)*100,
)))))</f>
        <v>708.4</v>
      </c>
    </row>
  </sheetData>
  <mergeCells count="4">
    <mergeCell ref="C5:F5"/>
    <mergeCell ref="D7:D8"/>
    <mergeCell ref="C11:G11"/>
    <mergeCell ref="E7:E8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TABELAS!$E$2:$E$7</xm:f>
          </x14:formula1>
          <xm:sqref>F8</xm:sqref>
        </x14:dataValidation>
        <x14:dataValidation type="list" showInputMessage="1" showErrorMessage="1">
          <x14:formula1>
            <xm:f>TABELAS!$A$2:$A$21</xm:f>
          </x14:formula1>
          <xm:sqref>G8</xm:sqref>
        </x14:dataValidation>
        <x14:dataValidation type="list" allowBlank="1" showInputMessage="1" showErrorMessage="1">
          <x14:formula1>
            <xm:f>TABELAS!$E$1:$E$7</xm:f>
          </x14:formula1>
          <xm:sqref>D13:D53</xm:sqref>
        </x14:dataValidation>
        <x14:dataValidation type="list" allowBlank="1" showInputMessage="1" showErrorMessage="1">
          <x14:formula1>
            <xm:f>TABELAS!$A$1:$A$21</xm:f>
          </x14:formula1>
          <xm:sqref>E13:E53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1"/>
  <sheetViews>
    <sheetView showGridLines="0" workbookViewId="0">
      <selection activeCell="G21" sqref="G21"/>
    </sheetView>
  </sheetViews>
  <sheetFormatPr defaultRowHeight="15" x14ac:dyDescent="0.25"/>
  <cols>
    <col min="1" max="2" width="22.42578125" customWidth="1"/>
    <col min="3" max="3" width="33.85546875" customWidth="1"/>
    <col min="4" max="4" width="18.7109375" customWidth="1"/>
    <col min="5" max="5" width="21.7109375" customWidth="1"/>
    <col min="6" max="6" width="11.42578125" customWidth="1"/>
    <col min="7" max="7" width="25.7109375" bestFit="1" customWidth="1"/>
    <col min="8" max="8" width="11.7109375" bestFit="1" customWidth="1"/>
  </cols>
  <sheetData>
    <row r="2" spans="1:8" s="19" customFormat="1" ht="15.75" customHeight="1" x14ac:dyDescent="0.25">
      <c r="A2" s="18" t="s">
        <v>26</v>
      </c>
      <c r="B2" s="18" t="s">
        <v>67</v>
      </c>
      <c r="C2" s="18" t="s">
        <v>74</v>
      </c>
      <c r="D2" s="18"/>
      <c r="E2" s="18" t="s">
        <v>55</v>
      </c>
      <c r="F2" s="19" t="s">
        <v>68</v>
      </c>
      <c r="G2" s="19" t="s">
        <v>69</v>
      </c>
      <c r="H2" s="19" t="s">
        <v>78</v>
      </c>
    </row>
    <row r="3" spans="1:8" x14ac:dyDescent="0.25">
      <c r="A3" t="s">
        <v>29</v>
      </c>
      <c r="B3">
        <f>COUNTIF(Tabela24[BANCO],TABELAS!A3)</f>
        <v>2</v>
      </c>
      <c r="C3" s="49">
        <f t="array" ref="C3">IFERROR(IF(MAX(IF(Tabela24[BANCO]=TABELAS!A3,Tabela24[DATA]))=0,"-",MAX(IF(Tabela24[BANCO]=TABELAS!A3,Tabela24[DATA]))),"-")</f>
        <v>49267</v>
      </c>
      <c r="E3" t="s">
        <v>57</v>
      </c>
      <c r="F3" s="34">
        <v>0.08</v>
      </c>
      <c r="G3" s="55">
        <f ca="1">SUMIF(Tabela24[[ORIGEM]:[VALOR]],TABELAS!E3,Tabela24[VALOR])</f>
        <v>54993</v>
      </c>
      <c r="H3" s="55">
        <f ca="1">SUMIF(Tabela24[[ORIGEM]:[Valor Estimado Imposto]],TABELAS!E3,Tabela24[Valor Estimado Imposto])</f>
        <v>4399.4400000000005</v>
      </c>
    </row>
    <row r="4" spans="1:8" x14ac:dyDescent="0.25">
      <c r="A4" t="s">
        <v>30</v>
      </c>
      <c r="B4">
        <f>COUNTIF(Tabela24[BANCO],TABELAS!A4)</f>
        <v>4</v>
      </c>
      <c r="C4" s="49">
        <f t="array" ref="C4">IFERROR(IF(MAX(IF(Tabela24[BANCO]=TABELAS!A4,Tabela24[DATA]))=0,"-",MAX(IF(Tabela24[BANCO]=TABELAS!A4,Tabela24[DATA]))),"-")</f>
        <v>48757</v>
      </c>
      <c r="E4" t="s">
        <v>58</v>
      </c>
      <c r="F4" s="34">
        <v>0.14000000000000001</v>
      </c>
      <c r="G4" s="55">
        <f ca="1">SUMIF(Tabela24[[ORIGEM]:[VALOR]],TABELAS!E4,Tabela24[VALOR])</f>
        <v>129276</v>
      </c>
      <c r="H4" s="55">
        <f ca="1">SUMIF(Tabela24[[ORIGEM]:[Valor Estimado Imposto]],TABELAS!E4,Tabela24[Valor Estimado Imposto])</f>
        <v>18098.64</v>
      </c>
    </row>
    <row r="5" spans="1:8" x14ac:dyDescent="0.25">
      <c r="A5" t="s">
        <v>31</v>
      </c>
      <c r="B5">
        <f>COUNTIF(Tabela24[BANCO],TABELAS!A5)</f>
        <v>4</v>
      </c>
      <c r="C5" s="49">
        <f t="array" ref="C5">IFERROR(IF(MAX(IF(Tabela24[BANCO]=TABELAS!A5,Tabela24[DATA]))=0,"-",MAX(IF(Tabela24[BANCO]=TABELAS!A5,Tabela24[DATA]))),"-")</f>
        <v>46531</v>
      </c>
      <c r="E5" t="s">
        <v>59</v>
      </c>
      <c r="F5" s="34">
        <v>0.23</v>
      </c>
      <c r="G5" s="55">
        <f ca="1">SUMIF(Tabela24[[ORIGEM]:[VALOR]],TABELAS!E5,Tabela24[VALOR])</f>
        <v>151905</v>
      </c>
      <c r="H5" s="55">
        <f ca="1">SUMIF(Tabela24[[ORIGEM]:[Valor Estimado Imposto]],TABELAS!E5,Tabela24[Valor Estimado Imposto])</f>
        <v>34938.15</v>
      </c>
    </row>
    <row r="6" spans="1:8" x14ac:dyDescent="0.25">
      <c r="A6" t="s">
        <v>32</v>
      </c>
      <c r="B6">
        <f>COUNTIF(Tabela24[BANCO],TABELAS!A6)</f>
        <v>6</v>
      </c>
      <c r="C6" s="49">
        <f t="array" ref="C6">IFERROR(IF(MAX(IF(Tabela24[BANCO]=TABELAS!A6,Tabela24[DATA]))=0,"-",MAX(IF(Tabela24[BANCO]=TABELAS!A6,Tabela24[DATA]))),"-")</f>
        <v>49193</v>
      </c>
      <c r="E6" t="s">
        <v>61</v>
      </c>
      <c r="F6" s="34">
        <v>0.2</v>
      </c>
      <c r="G6" s="55">
        <f ca="1">SUMIF(Tabela24[[ORIGEM]:[VALOR]],TABELAS!E6,Tabela24[VALOR])</f>
        <v>122154</v>
      </c>
      <c r="H6" s="55">
        <f ca="1">SUMIF(Tabela24[[ORIGEM]:[Valor Estimado Imposto]],TABELAS!E6,Tabela24[Valor Estimado Imposto])</f>
        <v>24430.799999999999</v>
      </c>
    </row>
    <row r="7" spans="1:8" x14ac:dyDescent="0.25">
      <c r="A7" t="s">
        <v>33</v>
      </c>
      <c r="B7">
        <f>COUNTIF(Tabela24[BANCO],TABELAS!A7)</f>
        <v>2</v>
      </c>
      <c r="C7" s="49">
        <f t="array" ref="C7">IFERROR(IF(MAX(IF(Tabela24[BANCO]=TABELAS!A7,Tabela24[DATA]))=0,"-",MAX(IF(Tabela24[BANCO]=TABELAS!A7,Tabela24[DATA]))),"-")</f>
        <v>49323</v>
      </c>
      <c r="E7" t="s">
        <v>62</v>
      </c>
      <c r="F7" s="34">
        <v>0.18</v>
      </c>
      <c r="G7" s="55">
        <f ca="1">SUMIF(Tabela24[[ORIGEM]:[VALOR]],TABELAS!E7,Tabela24[VALOR])</f>
        <v>59168</v>
      </c>
      <c r="H7" s="55">
        <f ca="1">SUMIF(Tabela24[[ORIGEM]:[Valor Estimado Imposto]],TABELAS!E7,Tabela24[Valor Estimado Imposto])</f>
        <v>10650.24</v>
      </c>
    </row>
    <row r="8" spans="1:8" x14ac:dyDescent="0.25">
      <c r="A8" t="s">
        <v>34</v>
      </c>
      <c r="B8">
        <f>COUNTIF(Tabela24[BANCO],TABELAS!A8)</f>
        <v>3</v>
      </c>
      <c r="C8" s="49">
        <f t="array" ref="C8">IFERROR(IF(MAX(IF(Tabela24[BANCO]=TABELAS!A8,Tabela24[DATA]))=0,"-",MAX(IF(Tabela24[BANCO]=TABELAS!A8,Tabela24[DATA]))),"-")</f>
        <v>49064</v>
      </c>
    </row>
    <row r="9" spans="1:8" x14ac:dyDescent="0.25">
      <c r="A9" t="s">
        <v>35</v>
      </c>
      <c r="B9">
        <f>COUNTIF(Tabela24[BANCO],TABELAS!A9)</f>
        <v>5</v>
      </c>
      <c r="C9" s="49">
        <f t="array" ref="C9">IFERROR(IF(MAX(IF(Tabela24[BANCO]=TABELAS!A9,Tabela24[DATA]))=0,"-",MAX(IF(Tabela24[BANCO]=TABELAS!A9,Tabela24[DATA]))),"-")</f>
        <v>49947</v>
      </c>
    </row>
    <row r="10" spans="1:8" x14ac:dyDescent="0.25">
      <c r="A10" t="s">
        <v>36</v>
      </c>
      <c r="B10">
        <f>COUNTIF(Tabela24[BANCO],TABELAS!A10)</f>
        <v>0</v>
      </c>
      <c r="C10" s="49" t="str">
        <f t="array" ref="C10">IFERROR(IF(MAX(IF(Tabela24[BANCO]=TABELAS!A10,Tabela24[DATA]))=0,"-",MAX(IF(Tabela24[BANCO]=TABELAS!A10,Tabela24[DATA]))),"-")</f>
        <v>-</v>
      </c>
    </row>
    <row r="11" spans="1:8" x14ac:dyDescent="0.25">
      <c r="A11" t="s">
        <v>37</v>
      </c>
      <c r="B11">
        <f>COUNTIF(Tabela24[BANCO],TABELAS!A11)</f>
        <v>1</v>
      </c>
      <c r="C11" s="49">
        <f t="array" ref="C11">IFERROR(IF(MAX(IF(Tabela24[BANCO]=TABELAS!A11,Tabela24[DATA]))=0,"-",MAX(IF(Tabela24[BANCO]=TABELAS!A11,Tabela24[DATA]))),"-")</f>
        <v>49597</v>
      </c>
    </row>
    <row r="12" spans="1:8" x14ac:dyDescent="0.25">
      <c r="A12" t="s">
        <v>38</v>
      </c>
      <c r="B12">
        <f>COUNTIF(Tabela24[BANCO],TABELAS!A12)</f>
        <v>2</v>
      </c>
      <c r="C12" s="49">
        <f t="array" ref="C12">IFERROR(IF(MAX(IF(Tabela24[BANCO]=TABELAS!A12,Tabela24[DATA]))=0,"-",MAX(IF(Tabela24[BANCO]=TABELAS!A12,Tabela24[DATA]))),"-")</f>
        <v>49751</v>
      </c>
    </row>
    <row r="13" spans="1:8" x14ac:dyDescent="0.25">
      <c r="A13" t="s">
        <v>39</v>
      </c>
      <c r="B13">
        <f>COUNTIF(Tabela24[BANCO],TABELAS!A13)</f>
        <v>1</v>
      </c>
      <c r="C13" s="49">
        <f t="array" ref="C13">IFERROR(IF(MAX(IF(Tabela24[BANCO]=TABELAS!A13,Tabela24[DATA]))=0,"-",MAX(IF(Tabela24[BANCO]=TABELAS!A13,Tabela24[DATA]))),"-")</f>
        <v>48367</v>
      </c>
    </row>
    <row r="14" spans="1:8" x14ac:dyDescent="0.25">
      <c r="A14" t="s">
        <v>40</v>
      </c>
      <c r="B14">
        <f>COUNTIF(Tabela24[BANCO],TABELAS!A14)</f>
        <v>1</v>
      </c>
      <c r="C14" s="49">
        <f t="array" ref="C14">IFERROR(IF(MAX(IF(Tabela24[BANCO]=TABELAS!A14,Tabela24[DATA]))=0,"-",MAX(IF(Tabela24[BANCO]=TABELAS!A14,Tabela24[DATA]))),"-")</f>
        <v>48973</v>
      </c>
    </row>
    <row r="15" spans="1:8" x14ac:dyDescent="0.25">
      <c r="A15" t="s">
        <v>41</v>
      </c>
      <c r="B15">
        <f>COUNTIF(Tabela24[BANCO],TABELAS!A15)</f>
        <v>3</v>
      </c>
      <c r="C15" s="49">
        <f t="array" ref="C15">IFERROR(IF(MAX(IF(Tabela24[BANCO]=TABELAS!A15,Tabela24[DATA]))=0,"-",MAX(IF(Tabela24[BANCO]=TABELAS!A15,Tabela24[DATA]))),"-")</f>
        <v>48957</v>
      </c>
    </row>
    <row r="16" spans="1:8" x14ac:dyDescent="0.25">
      <c r="A16" t="s">
        <v>42</v>
      </c>
      <c r="B16">
        <f>COUNTIF(Tabela24[BANCO],TABELAS!A16)</f>
        <v>1</v>
      </c>
      <c r="C16" s="49">
        <f t="array" ref="C16">IFERROR(IF(MAX(IF(Tabela24[BANCO]=TABELAS!A16,Tabela24[DATA]))=0,"-",MAX(IF(Tabela24[BANCO]=TABELAS!A16,Tabela24[DATA]))),"-")</f>
        <v>47158</v>
      </c>
    </row>
    <row r="17" spans="1:3" x14ac:dyDescent="0.25">
      <c r="A17" t="s">
        <v>43</v>
      </c>
      <c r="B17">
        <f>COUNTIF(Tabela24[BANCO],TABELAS!A17)</f>
        <v>1</v>
      </c>
      <c r="C17" s="49">
        <f t="array" ref="C17">IFERROR(IF(MAX(IF(Tabela24[BANCO]=TABELAS!A17,Tabela24[DATA]))=0,"-",MAX(IF(Tabela24[BANCO]=TABELAS!A17,Tabela24[DATA]))),"-")</f>
        <v>48175</v>
      </c>
    </row>
    <row r="18" spans="1:3" x14ac:dyDescent="0.25">
      <c r="A18" t="s">
        <v>44</v>
      </c>
      <c r="B18">
        <f>COUNTIF(Tabela24[BANCO],TABELAS!A18)</f>
        <v>2</v>
      </c>
      <c r="C18" s="49">
        <f t="array" ref="C18">IFERROR(IF(MAX(IF(Tabela24[BANCO]=TABELAS!A18,Tabela24[DATA]))=0,"-",MAX(IF(Tabela24[BANCO]=TABELAS!A18,Tabela24[DATA]))),"-")</f>
        <v>49482</v>
      </c>
    </row>
    <row r="19" spans="1:3" x14ac:dyDescent="0.25">
      <c r="A19" t="s">
        <v>45</v>
      </c>
      <c r="B19">
        <f>COUNTIF(Tabela24[BANCO],TABELAS!A19)</f>
        <v>1</v>
      </c>
      <c r="C19" s="49">
        <f t="array" ref="C19">IFERROR(IF(MAX(IF(Tabela24[BANCO]=TABELAS!A19,Tabela24[DATA]))=0,"-",MAX(IF(Tabela24[BANCO]=TABELAS!A19,Tabela24[DATA]))),"-")</f>
        <v>47741</v>
      </c>
    </row>
    <row r="20" spans="1:3" x14ac:dyDescent="0.25">
      <c r="A20" t="s">
        <v>46</v>
      </c>
      <c r="B20">
        <f>COUNTIF(Tabela24[BANCO],TABELAS!A20)</f>
        <v>1</v>
      </c>
      <c r="C20" s="49">
        <f t="array" ref="C20">IFERROR(IF(MAX(IF(Tabela24[BANCO]=TABELAS!A20,Tabela24[DATA]))=0,"-",MAX(IF(Tabela24[BANCO]=TABELAS!A20,Tabela24[DATA]))),"-")</f>
        <v>48142</v>
      </c>
    </row>
    <row r="21" spans="1:3" x14ac:dyDescent="0.25">
      <c r="A21" t="s">
        <v>47</v>
      </c>
      <c r="B21">
        <f>COUNTIF(Tabela24[BANCO],TABELAS!A21)</f>
        <v>1</v>
      </c>
      <c r="C21" s="49">
        <f t="array" ref="C21">IFERROR(IF(MAX(IF(Tabela24[BANCO]=TABELAS!A21,Tabela24[DATA]))=0,"-",MAX(IF(Tabela24[BANCO]=TABELAS!A21,Tabela24[DATA]))),"-")</f>
        <v>47930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CAPA</vt:lpstr>
      <vt:lpstr>RESUMO</vt:lpstr>
      <vt:lpstr>TITULAR</vt:lpstr>
      <vt:lpstr>INFORME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Sharllys Rodrigues</dc:creator>
  <cp:lastModifiedBy>Sharllys Rodrigues</cp:lastModifiedBy>
  <dcterms:created xsi:type="dcterms:W3CDTF">2025-12-18T13:17:37Z</dcterms:created>
  <dcterms:modified xsi:type="dcterms:W3CDTF">2025-12-19T00:42:38Z</dcterms:modified>
</cp:coreProperties>
</file>