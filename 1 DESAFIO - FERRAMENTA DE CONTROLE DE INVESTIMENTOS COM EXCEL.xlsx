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l\Desktop\TABELAS CURSO DATA ANALYST SANTANDER ACADEMY\"/>
    </mc:Choice>
  </mc:AlternateContent>
  <bookViews>
    <workbookView xWindow="0" yWindow="0" windowWidth="20490" windowHeight="7650"/>
  </bookViews>
  <sheets>
    <sheet name="CAPA" sheetId="7" r:id="rId1"/>
    <sheet name="CALCULADORAS" sheetId="1" r:id="rId2"/>
    <sheet name="LISTA % POR SETOR-PERFIL" sheetId="6" state="hidden" r:id="rId3"/>
  </sheets>
  <definedNames>
    <definedName name="_xlnm._FilterDatabase" localSheetId="1" hidden="1">CALCULADORAS!$C$5:$E$12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D36" i="1"/>
  <c r="E36" i="1" s="1"/>
  <c r="D35" i="1"/>
  <c r="E35" i="1" s="1"/>
  <c r="D34" i="1"/>
  <c r="E34" i="1" s="1"/>
  <c r="D33" i="1"/>
  <c r="E33" i="1" s="1"/>
  <c r="D32" i="1"/>
  <c r="E32" i="1" s="1"/>
  <c r="A9" i="6"/>
  <c r="A15" i="6"/>
  <c r="A4" i="6"/>
  <c r="A5" i="6"/>
  <c r="A6" i="6"/>
  <c r="A7" i="6"/>
  <c r="A8" i="6"/>
  <c r="A10" i="6"/>
  <c r="A11" i="6"/>
  <c r="A12" i="6"/>
  <c r="A13" i="6"/>
  <c r="A14" i="6"/>
  <c r="A16" i="6"/>
  <c r="A17" i="6"/>
  <c r="A18" i="6"/>
  <c r="A19" i="6"/>
  <c r="A20" i="6"/>
  <c r="A3" i="6"/>
  <c r="D22" i="1"/>
  <c r="E12" i="1"/>
  <c r="E11" i="1"/>
  <c r="E10" i="1"/>
  <c r="E9" i="1"/>
  <c r="D23" i="1"/>
  <c r="E23" i="1" s="1"/>
  <c r="E37" i="1" l="1"/>
  <c r="E38" i="1" s="1"/>
  <c r="D26" i="1"/>
  <c r="E26" i="1" s="1"/>
  <c r="D25" i="1"/>
  <c r="E25" i="1" s="1"/>
  <c r="E22" i="1"/>
  <c r="D24" i="1"/>
  <c r="E24" i="1" s="1"/>
  <c r="D27" i="1"/>
  <c r="E27" i="1" s="1"/>
  <c r="D18" i="1"/>
  <c r="D19" i="1" s="1"/>
</calcChain>
</file>

<file path=xl/sharedStrings.xml><?xml version="1.0" encoding="utf-8"?>
<sst xmlns="http://schemas.openxmlformats.org/spreadsheetml/2006/main" count="87" uniqueCount="55">
  <si>
    <t>Quanto investir por mês</t>
  </si>
  <si>
    <t>Por Quantos Anos</t>
  </si>
  <si>
    <t>Patrimonio acumulado</t>
  </si>
  <si>
    <t>Rendimento</t>
  </si>
  <si>
    <t>Rendimentos</t>
  </si>
  <si>
    <t>Calculadora de Previsibilidade</t>
  </si>
  <si>
    <t>Valor Objetivado:</t>
  </si>
  <si>
    <t>Em quanto tempo deseja acumular esse valor?</t>
  </si>
  <si>
    <t>Dia</t>
  </si>
  <si>
    <t>Semana</t>
  </si>
  <si>
    <t>Mês</t>
  </si>
  <si>
    <t>Ano</t>
  </si>
  <si>
    <t>Dias</t>
  </si>
  <si>
    <t>Semanas</t>
  </si>
  <si>
    <t>Mêses</t>
  </si>
  <si>
    <t>Anos</t>
  </si>
  <si>
    <t>Valor a ser economizado por:</t>
  </si>
  <si>
    <t>Calculadora de Objetivo Financeiro</t>
  </si>
  <si>
    <t>Taxa de Rendimento</t>
  </si>
  <si>
    <t>Cenários</t>
  </si>
  <si>
    <t>1 Ano</t>
  </si>
  <si>
    <t>2 Anos</t>
  </si>
  <si>
    <t>5 Anos</t>
  </si>
  <si>
    <t>10 Anos</t>
  </si>
  <si>
    <t>20 Anos</t>
  </si>
  <si>
    <t>30 Anos</t>
  </si>
  <si>
    <r>
      <rPr>
        <b/>
        <sz val="22"/>
        <color rgb="FFFF0000"/>
        <rFont val="Calibri"/>
        <family val="2"/>
        <scheme val="minor"/>
      </rPr>
      <t>IMPORTANTE!</t>
    </r>
    <r>
      <rPr>
        <sz val="18"/>
        <color rgb="FF9C6500"/>
        <rFont val="Calibri"/>
        <family val="2"/>
        <scheme val="minor"/>
      </rPr>
      <t xml:space="preserve"> INSERIR OU SELECIONAR VALORES APENAS NOS CAMPOS EM AMARELO</t>
    </r>
  </si>
  <si>
    <t>CHAVE</t>
  </si>
  <si>
    <t>PERFIL</t>
  </si>
  <si>
    <t>SETOR</t>
  </si>
  <si>
    <t>%</t>
  </si>
  <si>
    <t>INDUSTRIA</t>
  </si>
  <si>
    <t>IMOBILIARIO</t>
  </si>
  <si>
    <t>PUBLICO</t>
  </si>
  <si>
    <t>COMUNICAÇÕES</t>
  </si>
  <si>
    <t>VAREJO</t>
  </si>
  <si>
    <t>ALIMENTOS</t>
  </si>
  <si>
    <t>Conservador</t>
  </si>
  <si>
    <t>Moderado</t>
  </si>
  <si>
    <t>Agressivo</t>
  </si>
  <si>
    <t>Percentual Sugerido</t>
  </si>
  <si>
    <t>Valores</t>
  </si>
  <si>
    <t>Setor</t>
  </si>
  <si>
    <t>VALOR A SER INVESTIDO POR MÊS:</t>
  </si>
  <si>
    <t>Calculadora de Investimentos por Setor Baseado no Perfil de Investidor</t>
  </si>
  <si>
    <t>Varejo</t>
  </si>
  <si>
    <t>Alimentos</t>
  </si>
  <si>
    <t>Industria</t>
  </si>
  <si>
    <t>Imobiliario</t>
  </si>
  <si>
    <t>Publico</t>
  </si>
  <si>
    <t>Comunicações</t>
  </si>
  <si>
    <t xml:space="preserve">" " </t>
  </si>
  <si>
    <t>Tabela 1</t>
  </si>
  <si>
    <t>Tabela 2</t>
  </si>
  <si>
    <t>Tabela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</si>
</sst>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9C65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8"/>
      <color rgb="FF9C65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9" tint="0.399945066682943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9" tint="0.399945066682943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9" tint="0.39994506668294322"/>
      </left>
      <right style="thin">
        <color theme="0" tint="-0.14996795556505021"/>
      </right>
      <top style="thin">
        <color theme="0" tint="-0.14996795556505021"/>
      </top>
      <bottom style="thick">
        <color theme="9" tint="0.39994506668294322"/>
      </bottom>
      <diagonal/>
    </border>
    <border>
      <left style="thin">
        <color theme="0" tint="-0.14996795556505021"/>
      </left>
      <right style="thick">
        <color theme="9" tint="0.39994506668294322"/>
      </right>
      <top style="thin">
        <color theme="0" tint="-0.14996795556505021"/>
      </top>
      <bottom style="thick">
        <color theme="9" tint="0.39994506668294322"/>
      </bottom>
      <diagonal/>
    </border>
    <border>
      <left style="thick">
        <color theme="9" tint="0.39994506668294322"/>
      </left>
      <right/>
      <top style="thick">
        <color theme="9" tint="0.39994506668294322"/>
      </top>
      <bottom style="thin">
        <color theme="0" tint="-0.14996795556505021"/>
      </bottom>
      <diagonal/>
    </border>
    <border>
      <left/>
      <right style="thick">
        <color theme="9" tint="0.39994506668294322"/>
      </right>
      <top style="thick">
        <color theme="9" tint="0.39994506668294322"/>
      </top>
      <bottom style="thin">
        <color theme="0" tint="-0.14996795556505021"/>
      </bottom>
      <diagonal/>
    </border>
    <border>
      <left style="thick">
        <color theme="9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9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9" tint="-0.24994659260841701"/>
      </left>
      <right style="thin">
        <color theme="0" tint="-0.14996795556505021"/>
      </right>
      <top style="thin">
        <color theme="0" tint="-0.14996795556505021"/>
      </top>
      <bottom style="thick">
        <color theme="9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9" tint="-0.24994659260841701"/>
      </bottom>
      <diagonal/>
    </border>
    <border>
      <left style="thin">
        <color theme="0" tint="-0.14996795556505021"/>
      </left>
      <right style="thick">
        <color theme="9" tint="-0.24994659260841701"/>
      </right>
      <top style="thin">
        <color theme="0" tint="-0.1499679555650502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n">
        <color theme="0" tint="-0.14996795556505021"/>
      </bottom>
      <diagonal/>
    </border>
    <border>
      <left/>
      <right/>
      <top style="thick">
        <color theme="9" tint="-0.24994659260841701"/>
      </top>
      <bottom style="thin">
        <color theme="0" tint="-0.1499679555650502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n">
        <color theme="0" tint="-0.1499679555650502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n">
        <color theme="0" tint="-0.14996795556505021"/>
      </left>
      <right style="thick">
        <color theme="9" tint="-0.24994659260841701"/>
      </right>
      <top/>
      <bottom style="thin">
        <color theme="0" tint="-0.14996795556505021"/>
      </bottom>
      <diagonal/>
    </border>
    <border>
      <left/>
      <right/>
      <top style="thick">
        <color theme="9" tint="-0.24994659260841701"/>
      </top>
      <bottom/>
      <diagonal/>
    </border>
    <border>
      <left style="thick">
        <color theme="9" tint="-0.2499465926084170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ck">
        <color theme="9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9" tint="-0.24994659260841701"/>
      </left>
      <right/>
      <top style="thin">
        <color theme="0" tint="-0.14996795556505021"/>
      </top>
      <bottom style="thick">
        <color theme="9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theme="9" tint="-0.2499465926084170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9" tint="-0.24994659260841701"/>
      </left>
      <right/>
      <top/>
      <bottom style="thin">
        <color theme="0" tint="-4.9989318521683403E-2"/>
      </bottom>
      <diagonal/>
    </border>
    <border>
      <left/>
      <right style="thick">
        <color theme="9" tint="-0.24994659260841701"/>
      </right>
      <top/>
      <bottom style="thin">
        <color theme="0" tint="-4.9989318521683403E-2"/>
      </bottom>
      <diagonal/>
    </border>
    <border>
      <left style="thick">
        <color theme="9" tint="-0.2499465926084170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theme="9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9" tint="-0.24994659260841701"/>
      </left>
      <right/>
      <top style="thin">
        <color theme="0" tint="-4.9989318521683403E-2"/>
      </top>
      <bottom style="thick">
        <color theme="9" tint="-0.24994659260841701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ck">
        <color theme="9" tint="-0.24994659260841701"/>
      </bottom>
      <diagonal/>
    </border>
    <border>
      <left style="thin">
        <color theme="0" tint="-4.9989318521683403E-2"/>
      </left>
      <right style="thick">
        <color theme="9" tint="-0.24994659260841701"/>
      </right>
      <top style="thin">
        <color theme="0" tint="-4.9989318521683403E-2"/>
      </top>
      <bottom style="thick">
        <color theme="9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69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Border="1"/>
    <xf numFmtId="0" fontId="0" fillId="0" borderId="0" xfId="0" applyFill="1" applyBorder="1"/>
    <xf numFmtId="0" fontId="0" fillId="0" borderId="0" xfId="0" applyNumberFormat="1"/>
    <xf numFmtId="0" fontId="0" fillId="3" borderId="0" xfId="0" applyFill="1" applyBorder="1"/>
    <xf numFmtId="0" fontId="0" fillId="3" borderId="20" xfId="0" applyFill="1" applyBorder="1"/>
    <xf numFmtId="0" fontId="9" fillId="2" borderId="3" xfId="4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8" fontId="8" fillId="5" borderId="9" xfId="0" applyNumberFormat="1" applyFont="1" applyFill="1" applyBorder="1"/>
    <xf numFmtId="8" fontId="8" fillId="5" borderId="10" xfId="0" applyNumberFormat="1" applyFont="1" applyFill="1" applyBorder="1"/>
    <xf numFmtId="8" fontId="8" fillId="5" borderId="12" xfId="0" applyNumberFormat="1" applyFont="1" applyFill="1" applyBorder="1"/>
    <xf numFmtId="8" fontId="8" fillId="5" borderId="13" xfId="0" applyNumberFormat="1" applyFont="1" applyFill="1" applyBorder="1"/>
    <xf numFmtId="0" fontId="6" fillId="3" borderId="16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8" fillId="5" borderId="2" xfId="0" applyFont="1" applyFill="1" applyBorder="1"/>
    <xf numFmtId="8" fontId="8" fillId="5" borderId="3" xfId="0" applyNumberFormat="1" applyFont="1" applyFill="1" applyBorder="1"/>
    <xf numFmtId="8" fontId="8" fillId="5" borderId="5" xfId="0" applyNumberFormat="1" applyFont="1" applyFill="1" applyBorder="1"/>
    <xf numFmtId="0" fontId="8" fillId="5" borderId="4" xfId="0" applyFont="1" applyFill="1" applyBorder="1"/>
    <xf numFmtId="0" fontId="0" fillId="0" borderId="0" xfId="0" applyAlignment="1">
      <alignment vertical="center"/>
    </xf>
    <xf numFmtId="0" fontId="12" fillId="2" borderId="0" xfId="4" applyFont="1" applyAlignment="1">
      <alignment horizontal="center" vertical="center"/>
    </xf>
    <xf numFmtId="44" fontId="8" fillId="5" borderId="21" xfId="1" applyFont="1" applyFill="1" applyBorder="1" applyAlignment="1">
      <alignment horizontal="right" vertical="center"/>
    </xf>
    <xf numFmtId="44" fontId="8" fillId="5" borderId="10" xfId="1" applyFont="1" applyFill="1" applyBorder="1" applyAlignment="1">
      <alignment horizontal="right"/>
    </xf>
    <xf numFmtId="44" fontId="8" fillId="5" borderId="13" xfId="1" applyFont="1" applyFill="1" applyBorder="1" applyAlignment="1">
      <alignment horizontal="right"/>
    </xf>
    <xf numFmtId="0" fontId="7" fillId="5" borderId="23" xfId="0" applyFont="1" applyFill="1" applyBorder="1"/>
    <xf numFmtId="0" fontId="8" fillId="5" borderId="24" xfId="0" applyFont="1" applyFill="1" applyBorder="1"/>
    <xf numFmtId="0" fontId="7" fillId="5" borderId="25" xfId="0" applyFont="1" applyFill="1" applyBorder="1"/>
    <xf numFmtId="0" fontId="8" fillId="5" borderId="26" xfId="0" applyFont="1" applyFill="1" applyBorder="1"/>
    <xf numFmtId="0" fontId="7" fillId="5" borderId="27" xfId="0" applyFont="1" applyFill="1" applyBorder="1"/>
    <xf numFmtId="0" fontId="8" fillId="5" borderId="28" xfId="0" applyFont="1" applyFill="1" applyBorder="1"/>
    <xf numFmtId="0" fontId="0" fillId="0" borderId="29" xfId="0" applyBorder="1"/>
    <xf numFmtId="0" fontId="0" fillId="0" borderId="30" xfId="0" applyBorder="1"/>
    <xf numFmtId="9" fontId="0" fillId="0" borderId="0" xfId="2" applyFont="1"/>
    <xf numFmtId="9" fontId="0" fillId="0" borderId="30" xfId="2" applyFont="1" applyBorder="1"/>
    <xf numFmtId="9" fontId="0" fillId="0" borderId="0" xfId="2" applyFont="1" applyBorder="1"/>
    <xf numFmtId="9" fontId="0" fillId="0" borderId="29" xfId="2" applyFont="1" applyBorder="1"/>
    <xf numFmtId="9" fontId="0" fillId="0" borderId="0" xfId="2" applyFont="1" applyFill="1" applyBorder="1"/>
    <xf numFmtId="2" fontId="0" fillId="0" borderId="0" xfId="0" applyNumberFormat="1"/>
    <xf numFmtId="0" fontId="0" fillId="5" borderId="37" xfId="0" applyFill="1" applyBorder="1"/>
    <xf numFmtId="0" fontId="0" fillId="5" borderId="38" xfId="0" applyFill="1" applyBorder="1"/>
    <xf numFmtId="0" fontId="9" fillId="2" borderId="18" xfId="4" applyFont="1" applyBorder="1" applyAlignment="1">
      <alignment horizontal="center" vertical="center"/>
    </xf>
    <xf numFmtId="44" fontId="9" fillId="2" borderId="20" xfId="1" applyFont="1" applyFill="1" applyBorder="1"/>
    <xf numFmtId="44" fontId="9" fillId="2" borderId="3" xfId="4" applyNumberFormat="1" applyFont="1" applyBorder="1" applyAlignment="1">
      <alignment horizontal="center" vertical="center"/>
    </xf>
    <xf numFmtId="10" fontId="9" fillId="2" borderId="3" xfId="4" applyNumberFormat="1" applyFont="1" applyBorder="1" applyAlignment="1">
      <alignment horizontal="center" vertical="center"/>
    </xf>
    <xf numFmtId="44" fontId="9" fillId="2" borderId="10" xfId="4" applyNumberFormat="1" applyFont="1" applyBorder="1" applyAlignment="1">
      <alignment horizontal="center" vertical="center"/>
    </xf>
    <xf numFmtId="0" fontId="9" fillId="2" borderId="10" xfId="4" applyFont="1" applyBorder="1" applyAlignment="1">
      <alignment horizontal="center" vertical="center"/>
    </xf>
    <xf numFmtId="1" fontId="9" fillId="2" borderId="9" xfId="4" applyNumberFormat="1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44" fontId="8" fillId="5" borderId="39" xfId="1" applyFont="1" applyFill="1" applyBorder="1"/>
    <xf numFmtId="0" fontId="5" fillId="3" borderId="33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/>
    </xf>
    <xf numFmtId="9" fontId="7" fillId="5" borderId="32" xfId="2" applyFont="1" applyFill="1" applyBorder="1"/>
    <xf numFmtId="44" fontId="7" fillId="5" borderId="36" xfId="1" applyFont="1" applyFill="1" applyBorder="1"/>
    <xf numFmtId="0" fontId="2" fillId="4" borderId="1" xfId="3" applyFill="1"/>
  </cellXfs>
  <cellStyles count="5">
    <cellStyle name="Moeda" xfId="1" builtinId="4"/>
    <cellStyle name="Neutra" xfId="4" builtinId="28"/>
    <cellStyle name="Normal" xfId="0" builtinId="0"/>
    <cellStyle name="Porcentagem" xfId="2" builtinId="5"/>
    <cellStyle name="Título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CALCULADORAS!$D$31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AC8-45CE-AF2B-A43AB6D7DE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C8-45CE-AF2B-A43AB6D7DE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AC8-45CE-AF2B-A43AB6D7DE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C8-45CE-AF2B-A43AB6D7DE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AC8-45CE-AF2B-A43AB6D7DE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C8-45CE-AF2B-A43AB6D7DE5A}"/>
              </c:ext>
            </c:extLst>
          </c:dPt>
          <c:dLbls>
            <c:dLbl>
              <c:idx val="0"/>
              <c:layout>
                <c:manualLayout>
                  <c:x val="-1.7276539005242102E-2"/>
                  <c:y val="5.5868203974503185E-2"/>
                </c:manualLayout>
              </c:layout>
              <c:tx>
                <c:rich>
                  <a:bodyPr/>
                  <a:lstStyle/>
                  <a:p>
                    <a:fld id="{0E55E85D-B7AD-430C-BC47-CC8CF7E45FDB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AC8-45CE-AF2B-A43AB6D7DE5A}"/>
                </c:ext>
              </c:extLst>
            </c:dLbl>
            <c:dLbl>
              <c:idx val="1"/>
              <c:layout>
                <c:manualLayout>
                  <c:x val="-1.006433204982622E-2"/>
                  <c:y val="3.1828646419197588E-2"/>
                </c:manualLayout>
              </c:layout>
              <c:tx>
                <c:rich>
                  <a:bodyPr/>
                  <a:lstStyle/>
                  <a:p>
                    <a:fld id="{4495E90A-7CE9-42C6-A87C-E13329ECF694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AC8-45CE-AF2B-A43AB6D7DE5A}"/>
                </c:ext>
              </c:extLst>
            </c:dLbl>
            <c:dLbl>
              <c:idx val="2"/>
              <c:layout>
                <c:manualLayout>
                  <c:x val="-3.6695829253005956E-2"/>
                  <c:y val="-3.2021927308239634E-2"/>
                </c:manualLayout>
              </c:layout>
              <c:tx>
                <c:rich>
                  <a:bodyPr/>
                  <a:lstStyle/>
                  <a:p>
                    <a:fld id="{9CA29488-4596-4397-A9C0-FC7B27BA3D01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AC8-45CE-AF2B-A43AB6D7DE5A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BDD7A40-9625-47C6-A32E-2175DA376301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AC8-45CE-AF2B-A43AB6D7DE5A}"/>
                </c:ext>
              </c:extLst>
            </c:dLbl>
            <c:dLbl>
              <c:idx val="4"/>
              <c:layout>
                <c:manualLayout>
                  <c:x val="3.6770182695154814E-2"/>
                  <c:y val="6.9415613495222281E-2"/>
                </c:manualLayout>
              </c:layout>
              <c:tx>
                <c:rich>
                  <a:bodyPr/>
                  <a:lstStyle/>
                  <a:p>
                    <a:fld id="{AE3BEBE9-F35C-46E6-83D0-4EC69BA12BFD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AC8-45CE-AF2B-A43AB6D7DE5A}"/>
                </c:ext>
              </c:extLst>
            </c:dLbl>
            <c:dLbl>
              <c:idx val="5"/>
              <c:layout>
                <c:manualLayout>
                  <c:x val="4.8602530881645574E-2"/>
                  <c:y val="0.1086797900262467"/>
                </c:manualLayout>
              </c:layout>
              <c:tx>
                <c:rich>
                  <a:bodyPr/>
                  <a:lstStyle/>
                  <a:p>
                    <a:fld id="{82CD4ED7-41F0-43BD-AAA5-00E22A8EEFA3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AC8-45CE-AF2B-A43AB6D7DE5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  <c15:showDataLabelsRange val="1"/>
              </c:ext>
            </c:extLst>
          </c:dLbls>
          <c:cat>
            <c:strRef>
              <c:f>CALCULADORAS!$C$32:$C$37</c:f>
              <c:strCache>
                <c:ptCount val="6"/>
                <c:pt idx="0">
                  <c:v>Varejo</c:v>
                </c:pt>
                <c:pt idx="1">
                  <c:v>Alimentos</c:v>
                </c:pt>
                <c:pt idx="2">
                  <c:v>Industria</c:v>
                </c:pt>
                <c:pt idx="3">
                  <c:v>Imobiliario</c:v>
                </c:pt>
                <c:pt idx="4">
                  <c:v>Publico</c:v>
                </c:pt>
                <c:pt idx="5">
                  <c:v>Comunicações</c:v>
                </c:pt>
              </c:strCache>
            </c:strRef>
          </c:cat>
          <c:val>
            <c:numRef>
              <c:f>CALCULADORAS!$D$32:$D$37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CALCULADORAS!$E$32:$E$37</c15:f>
                <c15:dlblRangeCache>
                  <c:ptCount val="6"/>
                  <c:pt idx="0">
                    <c:v> R$ -   </c:v>
                  </c:pt>
                  <c:pt idx="1">
                    <c:v> R$ -   </c:v>
                  </c:pt>
                  <c:pt idx="2">
                    <c:v> R$ -   </c:v>
                  </c:pt>
                  <c:pt idx="3">
                    <c:v> R$ -   </c:v>
                  </c:pt>
                  <c:pt idx="4">
                    <c:v> R$ -   </c:v>
                  </c:pt>
                  <c:pt idx="5">
                    <c:v> R$ -  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AC8-45CE-AF2B-A43AB6D7DE5A}"/>
            </c:ext>
          </c:extLst>
        </c:ser>
        <c:ser>
          <c:idx val="1"/>
          <c:order val="1"/>
          <c:tx>
            <c:strRef>
              <c:f>CALCULADORAS!$E$31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CALCULADORAS!$C$32:$C$37</c:f>
              <c:strCache>
                <c:ptCount val="6"/>
                <c:pt idx="0">
                  <c:v>Varejo</c:v>
                </c:pt>
                <c:pt idx="1">
                  <c:v>Alimentos</c:v>
                </c:pt>
                <c:pt idx="2">
                  <c:v>Industria</c:v>
                </c:pt>
                <c:pt idx="3">
                  <c:v>Imobiliario</c:v>
                </c:pt>
                <c:pt idx="4">
                  <c:v>Publico</c:v>
                </c:pt>
                <c:pt idx="5">
                  <c:v>Comunicações</c:v>
                </c:pt>
              </c:strCache>
            </c:strRef>
          </c:cat>
          <c:val>
            <c:numRef>
              <c:f>CALCULADORAS!$E$32:$E$37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8-45CE-AF2B-A43AB6D7DE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485774</xdr:colOff>
      <xdr:row>7</xdr:row>
      <xdr:rowOff>57150</xdr:rowOff>
    </xdr:from>
    <xdr:to>
      <xdr:col>10</xdr:col>
      <xdr:colOff>76200</xdr:colOff>
      <xdr:row>17</xdr:row>
      <xdr:rowOff>28575</xdr:rowOff>
    </xdr:to>
    <xdr:sp macro="" textlink="">
      <xdr:nvSpPr>
        <xdr:cNvPr id="2" name="CaixaDeTexto 1"/>
        <xdr:cNvSpPr txBox="1"/>
      </xdr:nvSpPr>
      <xdr:spPr>
        <a:xfrm>
          <a:off x="1095374" y="1390650"/>
          <a:ext cx="5076826" cy="1876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1" i="1">
              <a:solidFill>
                <a:schemeClr val="bg1"/>
              </a:solidFill>
              <a:latin typeface="+mn-lt"/>
            </a:rPr>
            <a:t>DOCUMENTAÇÃO</a:t>
          </a:r>
        </a:p>
        <a:p>
          <a:r>
            <a:rPr lang="pt-BR" sz="3600" b="1" i="1">
              <a:solidFill>
                <a:schemeClr val="bg1"/>
              </a:solidFill>
            </a:rPr>
            <a:t>CALCULADORAS DE</a:t>
          </a:r>
          <a:r>
            <a:rPr lang="pt-BR" sz="3600" b="1" i="1" baseline="0">
              <a:solidFill>
                <a:schemeClr val="bg1"/>
              </a:solidFill>
            </a:rPr>
            <a:t> INVESTIMENTOS</a:t>
          </a:r>
          <a:endParaRPr lang="pt-BR" sz="36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378802</xdr:colOff>
      <xdr:row>7</xdr:row>
      <xdr:rowOff>137012</xdr:rowOff>
    </xdr:from>
    <xdr:to>
      <xdr:col>1</xdr:col>
      <xdr:colOff>424521</xdr:colOff>
      <xdr:row>16</xdr:row>
      <xdr:rowOff>7325</xdr:rowOff>
    </xdr:to>
    <xdr:sp macro="" textlink="">
      <xdr:nvSpPr>
        <xdr:cNvPr id="3" name="Retângulo 2"/>
        <xdr:cNvSpPr/>
      </xdr:nvSpPr>
      <xdr:spPr>
        <a:xfrm>
          <a:off x="986937" y="1470512"/>
          <a:ext cx="45719" cy="158481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563217</xdr:colOff>
      <xdr:row>26</xdr:row>
      <xdr:rowOff>33131</xdr:rowOff>
    </xdr:from>
    <xdr:to>
      <xdr:col>10</xdr:col>
      <xdr:colOff>455543</xdr:colOff>
      <xdr:row>29</xdr:row>
      <xdr:rowOff>99392</xdr:rowOff>
    </xdr:to>
    <xdr:sp macro="" textlink="">
      <xdr:nvSpPr>
        <xdr:cNvPr id="4" name="CaixaDeTexto 3"/>
        <xdr:cNvSpPr txBox="1"/>
      </xdr:nvSpPr>
      <xdr:spPr>
        <a:xfrm>
          <a:off x="563217" y="5052392"/>
          <a:ext cx="6021456" cy="72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tx1"/>
              </a:solidFill>
            </a:rPr>
            <a:t>Dimensiona quando o usuário precisa guardar</a:t>
          </a:r>
          <a:r>
            <a:rPr lang="pt-BR" sz="1600" b="1" baseline="0">
              <a:solidFill>
                <a:schemeClr val="tx1"/>
              </a:solidFill>
            </a:rPr>
            <a:t>, </a:t>
          </a:r>
          <a:r>
            <a:rPr lang="pt-BR" sz="1600" b="1">
              <a:solidFill>
                <a:schemeClr val="tx1"/>
              </a:solidFill>
            </a:rPr>
            <a:t>em reais, durante o periodo desejado para alcançar o valor estipulado no cabeçalho.</a:t>
          </a:r>
        </a:p>
      </xdr:txBody>
    </xdr:sp>
    <xdr:clientData/>
  </xdr:twoCellAnchor>
  <xdr:twoCellAnchor>
    <xdr:from>
      <xdr:col>0</xdr:col>
      <xdr:colOff>563217</xdr:colOff>
      <xdr:row>30</xdr:row>
      <xdr:rowOff>24847</xdr:rowOff>
    </xdr:from>
    <xdr:to>
      <xdr:col>10</xdr:col>
      <xdr:colOff>546653</xdr:colOff>
      <xdr:row>36</xdr:row>
      <xdr:rowOff>16565</xdr:rowOff>
    </xdr:to>
    <xdr:sp macro="" textlink="">
      <xdr:nvSpPr>
        <xdr:cNvPr id="5" name="CaixaDeTexto 4"/>
        <xdr:cNvSpPr txBox="1"/>
      </xdr:nvSpPr>
      <xdr:spPr>
        <a:xfrm>
          <a:off x="563217" y="5955195"/>
          <a:ext cx="6112566" cy="1408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/>
            <a:t>Fornece a previsibilade de acumulo de capital e rendimentos baseados na taxa e no periodo em que se pretende realizar os investimentos. Logo a baixo temos alguns cenários já estipulados com base no valor de investimento configurado no cabeçalho da tabela.</a:t>
          </a:r>
        </a:p>
      </xdr:txBody>
    </xdr:sp>
    <xdr:clientData/>
  </xdr:twoCellAnchor>
  <xdr:twoCellAnchor>
    <xdr:from>
      <xdr:col>0</xdr:col>
      <xdr:colOff>571500</xdr:colOff>
      <xdr:row>37</xdr:row>
      <xdr:rowOff>41413</xdr:rowOff>
    </xdr:from>
    <xdr:to>
      <xdr:col>10</xdr:col>
      <xdr:colOff>314740</xdr:colOff>
      <xdr:row>42</xdr:row>
      <xdr:rowOff>132522</xdr:rowOff>
    </xdr:to>
    <xdr:sp macro="" textlink="">
      <xdr:nvSpPr>
        <xdr:cNvPr id="6" name="CaixaDeTexto 5"/>
        <xdr:cNvSpPr txBox="1"/>
      </xdr:nvSpPr>
      <xdr:spPr>
        <a:xfrm>
          <a:off x="571500" y="7644848"/>
          <a:ext cx="5872370" cy="1051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/>
            <a:t>Fornece Sugestões de investimento para os setores tradicionais do mercado baseado no perfil do investidor e no valor disponível para aporte mensal.</a:t>
          </a:r>
        </a:p>
      </xdr:txBody>
    </xdr:sp>
    <xdr:clientData/>
  </xdr:twoCellAnchor>
  <xdr:twoCellAnchor>
    <xdr:from>
      <xdr:col>0</xdr:col>
      <xdr:colOff>231913</xdr:colOff>
      <xdr:row>43</xdr:row>
      <xdr:rowOff>33131</xdr:rowOff>
    </xdr:from>
    <xdr:to>
      <xdr:col>11</xdr:col>
      <xdr:colOff>447261</xdr:colOff>
      <xdr:row>44</xdr:row>
      <xdr:rowOff>165653</xdr:rowOff>
    </xdr:to>
    <xdr:sp macro="" textlink="">
      <xdr:nvSpPr>
        <xdr:cNvPr id="7" name="CaixaDeTexto 6"/>
        <xdr:cNvSpPr txBox="1"/>
      </xdr:nvSpPr>
      <xdr:spPr>
        <a:xfrm>
          <a:off x="231913" y="8787848"/>
          <a:ext cx="6957391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="1" i="1"/>
            <a:t>Planilha</a:t>
          </a:r>
          <a:r>
            <a:rPr lang="pt-BR" sz="1050" b="1" i="1" baseline="0"/>
            <a:t> desenvolvida para: "Desafio de Projeto 1 - Bootcamp Santander - Excel com Inteligência Artificial - 2º Semestre"</a:t>
          </a:r>
          <a:endParaRPr lang="pt-BR" sz="1050" b="1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228600</xdr:rowOff>
    </xdr:from>
    <xdr:to>
      <xdr:col>2</xdr:col>
      <xdr:colOff>180975</xdr:colOff>
      <xdr:row>0</xdr:row>
      <xdr:rowOff>781050</xdr:rowOff>
    </xdr:to>
    <xdr:sp macro="" textlink="">
      <xdr:nvSpPr>
        <xdr:cNvPr id="2" name="Retângulo 1"/>
        <xdr:cNvSpPr/>
      </xdr:nvSpPr>
      <xdr:spPr>
        <a:xfrm>
          <a:off x="219075" y="228600"/>
          <a:ext cx="76200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200024</xdr:colOff>
      <xdr:row>0</xdr:row>
      <xdr:rowOff>247650</xdr:rowOff>
    </xdr:from>
    <xdr:to>
      <xdr:col>11</xdr:col>
      <xdr:colOff>0</xdr:colOff>
      <xdr:row>0</xdr:row>
      <xdr:rowOff>809625</xdr:rowOff>
    </xdr:to>
    <xdr:sp macro="" textlink="">
      <xdr:nvSpPr>
        <xdr:cNvPr id="3" name="CaixaDeTexto 2"/>
        <xdr:cNvSpPr txBox="1"/>
      </xdr:nvSpPr>
      <xdr:spPr>
        <a:xfrm>
          <a:off x="314324" y="247650"/>
          <a:ext cx="9305926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 b="1" i="1">
              <a:solidFill>
                <a:schemeClr val="bg1"/>
              </a:solidFill>
            </a:rPr>
            <a:t>Calculadoras de Investimentos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5</xdr:col>
      <xdr:colOff>13607</xdr:colOff>
      <xdr:row>67</xdr:row>
      <xdr:rowOff>23812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showGridLines="0" showRowColHeaders="0" tabSelected="1" topLeftCell="A25" zoomScale="115" zoomScaleNormal="115" workbookViewId="0">
      <selection activeCell="H50" sqref="H50"/>
    </sheetView>
  </sheetViews>
  <sheetFormatPr defaultRowHeight="15" x14ac:dyDescent="0.25"/>
  <cols>
    <col min="1" max="12" width="9.140625" style="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6" spans="1:12" ht="20.25" thickBot="1" x14ac:dyDescent="0.35">
      <c r="B26" s="68" t="s">
        <v>52</v>
      </c>
    </row>
    <row r="27" spans="1:12" ht="15.75" thickTop="1" x14ac:dyDescent="0.25"/>
    <row r="29" spans="1:12" ht="21" customHeight="1" x14ac:dyDescent="0.25"/>
    <row r="30" spans="1:12" ht="20.25" thickBot="1" x14ac:dyDescent="0.35">
      <c r="B30" s="68" t="s">
        <v>53</v>
      </c>
    </row>
    <row r="31" spans="1:12" ht="15.75" thickTop="1" x14ac:dyDescent="0.25"/>
    <row r="37" spans="2:2" ht="20.25" thickBot="1" x14ac:dyDescent="0.35">
      <c r="B37" s="68" t="s">
        <v>54</v>
      </c>
    </row>
    <row r="38" spans="2:2" ht="15.75" thickTop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9"/>
  <sheetViews>
    <sheetView showGridLines="0" showRowColHeaders="0" zoomScale="55" zoomScaleNormal="55" workbookViewId="0">
      <selection activeCell="G8" sqref="G8"/>
    </sheetView>
  </sheetViews>
  <sheetFormatPr defaultRowHeight="15" x14ac:dyDescent="0.25"/>
  <cols>
    <col min="1" max="1" width="25" customWidth="1"/>
    <col min="2" max="2" width="30.28515625" hidden="1" customWidth="1"/>
    <col min="3" max="3" width="74.7109375" customWidth="1"/>
    <col min="4" max="4" width="61" customWidth="1"/>
    <col min="5" max="5" width="48.7109375" customWidth="1"/>
    <col min="6" max="6" width="6.28515625" customWidth="1"/>
    <col min="7" max="7" width="76.85546875" customWidth="1"/>
    <col min="8" max="8" width="24.42578125" customWidth="1"/>
    <col min="9" max="10" width="20.5703125" customWidth="1"/>
    <col min="11" max="11" width="24.140625" customWidth="1"/>
    <col min="12" max="12" width="10.85546875" hidden="1" customWidth="1"/>
    <col min="13" max="13" width="19" hidden="1" customWidth="1"/>
    <col min="14" max="14" width="14" hidden="1" customWidth="1"/>
    <col min="15" max="15" width="30.7109375" hidden="1" customWidth="1"/>
    <col min="16" max="16" width="39.7109375" hidden="1" customWidth="1"/>
    <col min="17" max="17" width="20.42578125" customWidth="1"/>
  </cols>
  <sheetData>
    <row r="1" spans="3:16" s="1" customFormat="1" ht="77.25" customHeight="1" x14ac:dyDescent="0.25"/>
    <row r="3" spans="3:16" s="31" customFormat="1" ht="27.75" customHeight="1" x14ac:dyDescent="0.25">
      <c r="C3" s="32" t="s">
        <v>26</v>
      </c>
      <c r="D3" s="32"/>
      <c r="E3" s="32"/>
    </row>
    <row r="4" spans="3:16" ht="15.75" thickBot="1" x14ac:dyDescent="0.3"/>
    <row r="5" spans="3:16" ht="34.5" customHeight="1" thickTop="1" x14ac:dyDescent="0.25">
      <c r="C5" s="9" t="s">
        <v>17</v>
      </c>
      <c r="D5" s="10"/>
      <c r="E5" s="11"/>
    </row>
    <row r="6" spans="3:16" ht="31.5" customHeight="1" x14ac:dyDescent="0.25">
      <c r="C6" s="12" t="s">
        <v>6</v>
      </c>
      <c r="D6" s="13"/>
      <c r="E6" s="56">
        <v>0</v>
      </c>
    </row>
    <row r="7" spans="3:16" ht="27" customHeight="1" x14ac:dyDescent="0.25">
      <c r="C7" s="24" t="s">
        <v>7</v>
      </c>
      <c r="D7" s="58"/>
      <c r="E7" s="57" t="s">
        <v>12</v>
      </c>
    </row>
    <row r="8" spans="3:16" ht="29.25" customHeight="1" x14ac:dyDescent="0.25">
      <c r="C8" s="23" t="s">
        <v>16</v>
      </c>
      <c r="D8" s="6"/>
      <c r="E8" s="7"/>
    </row>
    <row r="9" spans="3:16" ht="21" x14ac:dyDescent="0.35">
      <c r="C9" s="36" t="s">
        <v>8</v>
      </c>
      <c r="D9" s="37"/>
      <c r="E9" s="33" t="str">
        <f>IFERROR(IF(E7=L15,E6/(D7*M15),IF(E7=N14,E6/(D7*N15),IF(E7=O14,E6/(D7*O15),IF(E7=P14,E6/(D7*P15))))),"R$ 0,00")</f>
        <v>R$ 0,00</v>
      </c>
    </row>
    <row r="10" spans="3:16" ht="21" x14ac:dyDescent="0.35">
      <c r="C10" s="38" t="s">
        <v>9</v>
      </c>
      <c r="D10" s="39"/>
      <c r="E10" s="34" t="str">
        <f>IFERROR(IF(E7=M14,"-",IF(E7=N14,E6/(D7*N16),IF(E7=O14,E6/(D7*O16),IF(E7=P14,E6/(D7*P16))))),"R$ 0,00")</f>
        <v>-</v>
      </c>
    </row>
    <row r="11" spans="3:16" ht="21" x14ac:dyDescent="0.35">
      <c r="C11" s="38" t="s">
        <v>10</v>
      </c>
      <c r="D11" s="39"/>
      <c r="E11" s="34" t="str">
        <f>IFERROR(IF(E7=M14,"-",IF(E7=N14,"-",IF(E7=O14,E6/D7,IF(E7=P14,E6/(D7*P17))))),"R$ 0,00")</f>
        <v>-</v>
      </c>
    </row>
    <row r="12" spans="3:16" s="3" customFormat="1" ht="21.75" thickBot="1" x14ac:dyDescent="0.4">
      <c r="C12" s="40" t="s">
        <v>11</v>
      </c>
      <c r="D12" s="41"/>
      <c r="E12" s="35" t="str">
        <f>IFERROR(IF(E7=M14,"-",IF(E7=N14,"-",IF(E7=O14,"-",IF(E7=P14,E6/(D7*P18))))),"R$ 0,00")</f>
        <v>-</v>
      </c>
    </row>
    <row r="13" spans="3:16" ht="16.5" thickTop="1" thickBot="1" x14ac:dyDescent="0.3"/>
    <row r="14" spans="3:16" ht="37.5" customHeight="1" thickTop="1" x14ac:dyDescent="0.25">
      <c r="C14" s="14" t="s">
        <v>5</v>
      </c>
      <c r="D14" s="15"/>
      <c r="L14" s="3"/>
      <c r="M14" s="3" t="s">
        <v>12</v>
      </c>
      <c r="N14" s="3" t="s">
        <v>13</v>
      </c>
      <c r="O14" s="3" t="s">
        <v>14</v>
      </c>
      <c r="P14" s="4" t="s">
        <v>15</v>
      </c>
    </row>
    <row r="15" spans="3:16" ht="18.75" x14ac:dyDescent="0.25">
      <c r="C15" s="26" t="s">
        <v>0</v>
      </c>
      <c r="D15" s="54">
        <v>0</v>
      </c>
      <c r="L15" t="s">
        <v>12</v>
      </c>
      <c r="M15">
        <v>1</v>
      </c>
      <c r="N15">
        <v>7</v>
      </c>
      <c r="O15" s="5">
        <v>30</v>
      </c>
      <c r="P15">
        <v>365</v>
      </c>
    </row>
    <row r="16" spans="3:16" ht="18.75" x14ac:dyDescent="0.25">
      <c r="C16" s="26" t="s">
        <v>1</v>
      </c>
      <c r="D16" s="8"/>
      <c r="L16" t="s">
        <v>13</v>
      </c>
      <c r="M16">
        <v>0</v>
      </c>
      <c r="N16">
        <v>1</v>
      </c>
      <c r="O16" s="5">
        <v>4</v>
      </c>
      <c r="P16" s="5">
        <v>48</v>
      </c>
    </row>
    <row r="17" spans="2:16" ht="18.75" x14ac:dyDescent="0.25">
      <c r="C17" s="26" t="s">
        <v>18</v>
      </c>
      <c r="D17" s="55">
        <v>0</v>
      </c>
      <c r="L17" t="s">
        <v>14</v>
      </c>
      <c r="M17">
        <v>0</v>
      </c>
      <c r="N17">
        <v>0</v>
      </c>
      <c r="O17" s="5">
        <v>1</v>
      </c>
      <c r="P17" s="5">
        <v>12</v>
      </c>
    </row>
    <row r="18" spans="2:16" ht="18.75" x14ac:dyDescent="0.3">
      <c r="C18" s="27" t="s">
        <v>2</v>
      </c>
      <c r="D18" s="28">
        <f>FV(D17,D16*12,D15*-1)</f>
        <v>0</v>
      </c>
      <c r="L18" t="s">
        <v>15</v>
      </c>
      <c r="M18">
        <v>0</v>
      </c>
      <c r="N18">
        <v>0</v>
      </c>
      <c r="O18" s="5">
        <v>0</v>
      </c>
      <c r="P18" s="5">
        <v>1</v>
      </c>
    </row>
    <row r="19" spans="2:16" ht="19.5" thickBot="1" x14ac:dyDescent="0.35">
      <c r="C19" s="30" t="s">
        <v>4</v>
      </c>
      <c r="D19" s="29">
        <f>D18*D17</f>
        <v>0</v>
      </c>
    </row>
    <row r="20" spans="2:16" ht="16.5" thickTop="1" thickBot="1" x14ac:dyDescent="0.3"/>
    <row r="21" spans="2:16" ht="19.5" thickTop="1" x14ac:dyDescent="0.25">
      <c r="C21" s="16" t="s">
        <v>19</v>
      </c>
      <c r="D21" s="17"/>
      <c r="E21" s="22" t="s">
        <v>3</v>
      </c>
    </row>
    <row r="22" spans="2:16" ht="18.75" x14ac:dyDescent="0.3">
      <c r="B22">
        <v>1</v>
      </c>
      <c r="C22" s="24" t="s">
        <v>20</v>
      </c>
      <c r="D22" s="18">
        <f>FV($D$17,B22*12,$D$15*-1)</f>
        <v>0</v>
      </c>
      <c r="E22" s="19">
        <f>D22*$D$17</f>
        <v>0</v>
      </c>
    </row>
    <row r="23" spans="2:16" ht="18.75" x14ac:dyDescent="0.3">
      <c r="B23">
        <v>2</v>
      </c>
      <c r="C23" s="24" t="s">
        <v>21</v>
      </c>
      <c r="D23" s="18">
        <f>FV($D$17,B23*12,$D$15*-1)</f>
        <v>0</v>
      </c>
      <c r="E23" s="19">
        <f>D23*$D$17</f>
        <v>0</v>
      </c>
    </row>
    <row r="24" spans="2:16" ht="18.75" x14ac:dyDescent="0.3">
      <c r="B24">
        <v>5</v>
      </c>
      <c r="C24" s="24" t="s">
        <v>22</v>
      </c>
      <c r="D24" s="18">
        <f>FV($D$17,B24*12,$D$15*-1)</f>
        <v>0</v>
      </c>
      <c r="E24" s="19">
        <f>D24*$D$17</f>
        <v>0</v>
      </c>
    </row>
    <row r="25" spans="2:16" ht="18.75" x14ac:dyDescent="0.3">
      <c r="B25">
        <v>10</v>
      </c>
      <c r="C25" s="24" t="s">
        <v>23</v>
      </c>
      <c r="D25" s="18">
        <f>FV($D$17,B25*12,$D$15*-1)</f>
        <v>0</v>
      </c>
      <c r="E25" s="19">
        <f>D25*$D$17</f>
        <v>0</v>
      </c>
    </row>
    <row r="26" spans="2:16" ht="18.75" x14ac:dyDescent="0.3">
      <c r="B26">
        <v>20</v>
      </c>
      <c r="C26" s="24" t="s">
        <v>24</v>
      </c>
      <c r="D26" s="18">
        <f>FV($D$17,B26*12,$D$15*-1)</f>
        <v>0</v>
      </c>
      <c r="E26" s="19">
        <f>D26*$D$17</f>
        <v>0</v>
      </c>
    </row>
    <row r="27" spans="2:16" ht="20.25" customHeight="1" thickBot="1" x14ac:dyDescent="0.35">
      <c r="B27">
        <v>30</v>
      </c>
      <c r="C27" s="25" t="s">
        <v>25</v>
      </c>
      <c r="D27" s="20">
        <f>FV($D$17,B27*12,$D$15*-1)</f>
        <v>0</v>
      </c>
      <c r="E27" s="21">
        <f>D27*$D$17</f>
        <v>0</v>
      </c>
    </row>
    <row r="28" spans="2:16" ht="16.5" thickTop="1" thickBot="1" x14ac:dyDescent="0.3"/>
    <row r="29" spans="2:16" ht="34.5" customHeight="1" thickTop="1" x14ac:dyDescent="0.25">
      <c r="C29" s="9" t="s">
        <v>44</v>
      </c>
      <c r="D29" s="10"/>
      <c r="E29" s="52" t="s">
        <v>51</v>
      </c>
    </row>
    <row r="30" spans="2:16" ht="24.75" customHeight="1" x14ac:dyDescent="0.3">
      <c r="C30" s="59" t="s">
        <v>43</v>
      </c>
      <c r="D30" s="60"/>
      <c r="E30" s="53">
        <v>0</v>
      </c>
    </row>
    <row r="31" spans="2:16" ht="21" x14ac:dyDescent="0.25">
      <c r="C31" s="62" t="s">
        <v>42</v>
      </c>
      <c r="D31" s="63" t="s">
        <v>40</v>
      </c>
      <c r="E31" s="64" t="s">
        <v>41</v>
      </c>
    </row>
    <row r="32" spans="2:16" ht="21" x14ac:dyDescent="0.35">
      <c r="C32" s="65" t="s">
        <v>45</v>
      </c>
      <c r="D32" s="66" t="str">
        <f>IFERROR(VLOOKUP($E$29&amp;"-"&amp;C32,'LISTA % POR SETOR-PERFIL'!$A:$D,4,),"R$ 0,00")</f>
        <v>R$ 0,00</v>
      </c>
      <c r="E32" s="67">
        <f>D32*$E$30</f>
        <v>0</v>
      </c>
    </row>
    <row r="33" spans="3:5" ht="21" x14ac:dyDescent="0.35">
      <c r="C33" s="65" t="s">
        <v>46</v>
      </c>
      <c r="D33" s="66" t="str">
        <f>IFERROR(VLOOKUP($E$29&amp;"-"&amp;C33,'LISTA % POR SETOR-PERFIL'!$A:$D,4,),"R$ 0,00")</f>
        <v>R$ 0,00</v>
      </c>
      <c r="E33" s="67">
        <f>D33*$E$30</f>
        <v>0</v>
      </c>
    </row>
    <row r="34" spans="3:5" ht="21" x14ac:dyDescent="0.35">
      <c r="C34" s="65" t="s">
        <v>47</v>
      </c>
      <c r="D34" s="66" t="str">
        <f>IFERROR(VLOOKUP($E$29&amp;"-"&amp;C34,'LISTA % POR SETOR-PERFIL'!$A:$D,4,),"R$ 0,00")</f>
        <v>R$ 0,00</v>
      </c>
      <c r="E34" s="67">
        <f>D34*$E$30</f>
        <v>0</v>
      </c>
    </row>
    <row r="35" spans="3:5" ht="21" x14ac:dyDescent="0.35">
      <c r="C35" s="65" t="s">
        <v>48</v>
      </c>
      <c r="D35" s="66" t="str">
        <f>IFERROR(VLOOKUP($E$29&amp;"-"&amp;C35,'LISTA % POR SETOR-PERFIL'!$A:$D,4,),"R$ 0,00")</f>
        <v>R$ 0,00</v>
      </c>
      <c r="E35" s="67">
        <f>D35*$E$30</f>
        <v>0</v>
      </c>
    </row>
    <row r="36" spans="3:5" ht="21" x14ac:dyDescent="0.35">
      <c r="C36" s="65" t="s">
        <v>49</v>
      </c>
      <c r="D36" s="66" t="str">
        <f>IFERROR(VLOOKUP($E$29&amp;"-"&amp;C36,'LISTA % POR SETOR-PERFIL'!$A:$D,4,),"R$ 0,00")</f>
        <v>R$ 0,00</v>
      </c>
      <c r="E36" s="67">
        <f>D36*$E$30</f>
        <v>0</v>
      </c>
    </row>
    <row r="37" spans="3:5" ht="21" x14ac:dyDescent="0.35">
      <c r="C37" s="65" t="s">
        <v>50</v>
      </c>
      <c r="D37" s="66" t="str">
        <f>IFERROR(VLOOKUP($E$29&amp;"-"&amp;C37,'LISTA % POR SETOR-PERFIL'!$A:$D,4,),"R$ 0,00")</f>
        <v>R$ 0,00</v>
      </c>
      <c r="E37" s="67">
        <f>D37*$E$30</f>
        <v>0</v>
      </c>
    </row>
    <row r="38" spans="3:5" ht="19.5" thickBot="1" x14ac:dyDescent="0.35">
      <c r="C38" s="50"/>
      <c r="D38" s="51"/>
      <c r="E38" s="61">
        <f>SUM(E32:E37)</f>
        <v>0</v>
      </c>
    </row>
    <row r="39" spans="3:5" ht="15.75" thickTop="1" x14ac:dyDescent="0.25"/>
  </sheetData>
  <mergeCells count="6">
    <mergeCell ref="C29:D29"/>
    <mergeCell ref="C30:D30"/>
    <mergeCell ref="C6:D6"/>
    <mergeCell ref="C5:E5"/>
    <mergeCell ref="C14:D14"/>
    <mergeCell ref="C3:E3"/>
  </mergeCells>
  <dataValidations count="2">
    <dataValidation type="list" allowBlank="1" showInputMessage="1" showErrorMessage="1" sqref="E7">
      <formula1>$L$15:$L$18</formula1>
    </dataValidation>
    <dataValidation type="list" allowBlank="1" showInputMessage="1" showErrorMessage="1" sqref="E29">
      <mc:AlternateContent xmlns:x12ac="http://schemas.microsoft.com/office/spreadsheetml/2011/1/ac" xmlns:mc="http://schemas.openxmlformats.org/markup-compatibility/2006">
        <mc:Choice Requires="x12ac">
          <x12ac:list>""" "" ",Conservador,Moderado,Agressivo</x12ac:list>
        </mc:Choice>
        <mc:Fallback>
          <formula1>""" "" ,Conservador,Moderado,Agressivo"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I8" sqref="I8"/>
    </sheetView>
  </sheetViews>
  <sheetFormatPr defaultRowHeight="15" x14ac:dyDescent="0.25"/>
  <cols>
    <col min="1" max="1" width="24.28515625" customWidth="1"/>
    <col min="2" max="2" width="21.7109375" customWidth="1"/>
    <col min="3" max="3" width="23.28515625" customWidth="1"/>
  </cols>
  <sheetData>
    <row r="2" spans="1:7" x14ac:dyDescent="0.25">
      <c r="A2" t="s">
        <v>27</v>
      </c>
      <c r="B2" t="s">
        <v>28</v>
      </c>
      <c r="C2" t="s">
        <v>29</v>
      </c>
      <c r="D2" t="s">
        <v>30</v>
      </c>
    </row>
    <row r="3" spans="1:7" x14ac:dyDescent="0.25">
      <c r="A3" t="str">
        <f>B3&amp;"-"&amp;C3</f>
        <v>Conservador-VAREJO</v>
      </c>
      <c r="B3" t="s">
        <v>37</v>
      </c>
      <c r="C3" t="s">
        <v>35</v>
      </c>
      <c r="D3" s="44">
        <v>0.05</v>
      </c>
      <c r="E3" s="5"/>
    </row>
    <row r="4" spans="1:7" x14ac:dyDescent="0.25">
      <c r="A4" t="str">
        <f t="shared" ref="A4:A20" si="0">B4&amp;"-"&amp;C4</f>
        <v>Conservador-ALIMENTOS</v>
      </c>
      <c r="B4" t="s">
        <v>37</v>
      </c>
      <c r="C4" t="s">
        <v>36</v>
      </c>
      <c r="D4" s="44">
        <v>0.25</v>
      </c>
      <c r="E4" s="5"/>
    </row>
    <row r="5" spans="1:7" x14ac:dyDescent="0.25">
      <c r="A5" t="str">
        <f t="shared" si="0"/>
        <v>Conservador-INDUSTRIA</v>
      </c>
      <c r="B5" t="s">
        <v>37</v>
      </c>
      <c r="C5" t="s">
        <v>31</v>
      </c>
      <c r="D5" s="44">
        <v>0.05</v>
      </c>
      <c r="E5" s="5"/>
    </row>
    <row r="6" spans="1:7" x14ac:dyDescent="0.25">
      <c r="A6" t="str">
        <f t="shared" si="0"/>
        <v>Conservador-IMOBILIARIO</v>
      </c>
      <c r="B6" t="s">
        <v>37</v>
      </c>
      <c r="C6" t="s">
        <v>32</v>
      </c>
      <c r="D6" s="44">
        <v>0.5</v>
      </c>
      <c r="E6" s="5"/>
    </row>
    <row r="7" spans="1:7" x14ac:dyDescent="0.25">
      <c r="A7" t="str">
        <f t="shared" si="0"/>
        <v>Conservador-PUBLICO</v>
      </c>
      <c r="B7" t="s">
        <v>37</v>
      </c>
      <c r="C7" t="s">
        <v>33</v>
      </c>
      <c r="D7" s="44">
        <v>0.05</v>
      </c>
      <c r="E7" s="5"/>
    </row>
    <row r="8" spans="1:7" ht="15.75" thickBot="1" x14ac:dyDescent="0.3">
      <c r="A8" t="str">
        <f t="shared" si="0"/>
        <v>Conservador-COMUNICAÇÕES</v>
      </c>
      <c r="B8" t="s">
        <v>37</v>
      </c>
      <c r="C8" t="s">
        <v>34</v>
      </c>
      <c r="D8" s="44">
        <v>0.1</v>
      </c>
      <c r="E8" s="5"/>
    </row>
    <row r="9" spans="1:7" ht="15.75" thickTop="1" x14ac:dyDescent="0.25">
      <c r="A9" s="43" t="str">
        <f t="shared" si="0"/>
        <v>Moderado-VAREJO</v>
      </c>
      <c r="B9" s="43" t="s">
        <v>38</v>
      </c>
      <c r="C9" s="43" t="s">
        <v>35</v>
      </c>
      <c r="D9" s="45">
        <v>0.15</v>
      </c>
      <c r="E9" s="5"/>
      <c r="G9" s="49"/>
    </row>
    <row r="10" spans="1:7" x14ac:dyDescent="0.25">
      <c r="A10" t="str">
        <f t="shared" si="0"/>
        <v>Moderado-ALIMENTOS</v>
      </c>
      <c r="B10" s="3" t="s">
        <v>38</v>
      </c>
      <c r="C10" s="3" t="s">
        <v>36</v>
      </c>
      <c r="D10" s="46">
        <v>0.15</v>
      </c>
      <c r="E10" s="5"/>
      <c r="G10" s="49"/>
    </row>
    <row r="11" spans="1:7" x14ac:dyDescent="0.25">
      <c r="A11" t="str">
        <f t="shared" si="0"/>
        <v>Moderado-INDUSTRIA</v>
      </c>
      <c r="B11" s="3" t="s">
        <v>38</v>
      </c>
      <c r="C11" s="3" t="s">
        <v>31</v>
      </c>
      <c r="D11" s="46">
        <v>0.1</v>
      </c>
      <c r="E11" s="5"/>
      <c r="G11" s="49"/>
    </row>
    <row r="12" spans="1:7" x14ac:dyDescent="0.25">
      <c r="A12" t="str">
        <f t="shared" si="0"/>
        <v>Moderado-IMOBILIARIO</v>
      </c>
      <c r="B12" s="3" t="s">
        <v>38</v>
      </c>
      <c r="C12" s="3" t="s">
        <v>32</v>
      </c>
      <c r="D12" s="46">
        <v>0.35</v>
      </c>
      <c r="E12" s="5"/>
      <c r="G12" s="49"/>
    </row>
    <row r="13" spans="1:7" x14ac:dyDescent="0.25">
      <c r="A13" t="str">
        <f t="shared" si="0"/>
        <v>Moderado-PUBLICO</v>
      </c>
      <c r="B13" s="3" t="s">
        <v>38</v>
      </c>
      <c r="C13" s="3" t="s">
        <v>33</v>
      </c>
      <c r="D13" s="46">
        <v>0.1</v>
      </c>
      <c r="E13" s="5"/>
      <c r="G13" s="49"/>
    </row>
    <row r="14" spans="1:7" ht="15.75" thickBot="1" x14ac:dyDescent="0.3">
      <c r="A14" t="str">
        <f t="shared" si="0"/>
        <v>Moderado-COMUNICAÇÕES</v>
      </c>
      <c r="B14" s="3" t="s">
        <v>38</v>
      </c>
      <c r="C14" s="3" t="s">
        <v>34</v>
      </c>
      <c r="D14" s="46">
        <v>0.15</v>
      </c>
      <c r="E14" s="5"/>
      <c r="G14" s="49"/>
    </row>
    <row r="15" spans="1:7" ht="15.75" thickTop="1" x14ac:dyDescent="0.25">
      <c r="A15" s="42" t="str">
        <f t="shared" si="0"/>
        <v>Agressivo-VAREJO</v>
      </c>
      <c r="B15" s="42" t="s">
        <v>39</v>
      </c>
      <c r="C15" s="42" t="s">
        <v>35</v>
      </c>
      <c r="D15" s="47">
        <v>0.05</v>
      </c>
      <c r="E15" s="5"/>
    </row>
    <row r="16" spans="1:7" x14ac:dyDescent="0.25">
      <c r="A16" t="str">
        <f t="shared" si="0"/>
        <v>Agressivo-ALIMENTOS</v>
      </c>
      <c r="B16" t="s">
        <v>39</v>
      </c>
      <c r="C16" t="s">
        <v>36</v>
      </c>
      <c r="D16" s="48">
        <v>0.05</v>
      </c>
      <c r="E16" s="5"/>
    </row>
    <row r="17" spans="1:5" x14ac:dyDescent="0.25">
      <c r="A17" t="str">
        <f t="shared" si="0"/>
        <v>Agressivo-INDUSTRIA</v>
      </c>
      <c r="B17" t="s">
        <v>39</v>
      </c>
      <c r="C17" t="s">
        <v>31</v>
      </c>
      <c r="D17" s="44">
        <v>0.05</v>
      </c>
      <c r="E17" s="5"/>
    </row>
    <row r="18" spans="1:5" x14ac:dyDescent="0.25">
      <c r="A18" t="str">
        <f t="shared" si="0"/>
        <v>Agressivo-IMOBILIARIO</v>
      </c>
      <c r="B18" t="s">
        <v>39</v>
      </c>
      <c r="C18" t="s">
        <v>32</v>
      </c>
      <c r="D18" s="44">
        <v>0.4</v>
      </c>
      <c r="E18" s="5"/>
    </row>
    <row r="19" spans="1:5" x14ac:dyDescent="0.25">
      <c r="A19" t="str">
        <f t="shared" si="0"/>
        <v>Agressivo-PUBLICO</v>
      </c>
      <c r="B19" t="s">
        <v>39</v>
      </c>
      <c r="C19" t="s">
        <v>33</v>
      </c>
      <c r="D19" s="44">
        <v>0.15</v>
      </c>
      <c r="E19" s="5"/>
    </row>
    <row r="20" spans="1:5" x14ac:dyDescent="0.25">
      <c r="A20" t="str">
        <f t="shared" si="0"/>
        <v>Agressivo-COMUNICAÇÕES</v>
      </c>
      <c r="B20" t="s">
        <v>39</v>
      </c>
      <c r="C20" t="s">
        <v>34</v>
      </c>
      <c r="D20" s="44">
        <v>0.3</v>
      </c>
      <c r="E2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CAPA</vt:lpstr>
      <vt:lpstr>CALCULADORAS</vt:lpstr>
      <vt:lpstr>LISTA % POR SETOR-PERFIL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Sharllys Rodrigues</dc:creator>
  <cp:lastModifiedBy>Sharllys Rodrigues</cp:lastModifiedBy>
  <dcterms:created xsi:type="dcterms:W3CDTF">2025-12-15T14:18:26Z</dcterms:created>
  <dcterms:modified xsi:type="dcterms:W3CDTF">2025-12-15T22:45:51Z</dcterms:modified>
</cp:coreProperties>
</file>